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xy/Desktop/"/>
    </mc:Choice>
  </mc:AlternateContent>
  <xr:revisionPtr revIDLastSave="0" documentId="13_ncr:1_{E4ADF08A-ACC1-6943-A404-F1B17C4F4B58}" xr6:coauthVersionLast="47" xr6:coauthVersionMax="47" xr10:uidLastSave="{00000000-0000-0000-0000-000000000000}"/>
  <bookViews>
    <workbookView xWindow="280" yWindow="640" windowWidth="28240" windowHeight="16940" xr2:uid="{0EAFB776-9A43-774E-AA01-E88C6FE2AD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3" i="1" l="1"/>
  <c r="F62" i="1"/>
  <c r="F60" i="1"/>
  <c r="G60" i="1"/>
  <c r="H60" i="1"/>
  <c r="I60" i="1"/>
  <c r="J60" i="1"/>
  <c r="K60" i="1"/>
  <c r="L60" i="1"/>
  <c r="M60" i="1"/>
  <c r="E60" i="1"/>
  <c r="D60" i="1"/>
  <c r="C60" i="1"/>
  <c r="D120" i="1"/>
  <c r="E120" i="1"/>
  <c r="F120" i="1"/>
  <c r="G120" i="1"/>
  <c r="H120" i="1"/>
  <c r="I120" i="1"/>
  <c r="J120" i="1"/>
  <c r="K120" i="1"/>
  <c r="D121" i="1"/>
  <c r="E121" i="1"/>
  <c r="F121" i="1"/>
  <c r="G121" i="1"/>
  <c r="H121" i="1"/>
  <c r="I121" i="1"/>
  <c r="J121" i="1"/>
  <c r="K121" i="1"/>
  <c r="C121" i="1"/>
  <c r="C120" i="1"/>
  <c r="I117" i="1"/>
  <c r="J117" i="1" s="1"/>
  <c r="K117" i="1" s="1"/>
  <c r="I118" i="1"/>
  <c r="J118" i="1"/>
  <c r="K118" i="1" s="1"/>
  <c r="I119" i="1"/>
  <c r="J119" i="1"/>
  <c r="K119" i="1"/>
  <c r="H119" i="1"/>
  <c r="H118" i="1"/>
  <c r="H117" i="1"/>
  <c r="I112" i="1"/>
  <c r="J112" i="1" s="1"/>
  <c r="K112" i="1" s="1"/>
  <c r="I113" i="1"/>
  <c r="J113" i="1" s="1"/>
  <c r="K113" i="1" s="1"/>
  <c r="I114" i="1"/>
  <c r="J114" i="1"/>
  <c r="K114" i="1" s="1"/>
  <c r="I115" i="1"/>
  <c r="J115" i="1"/>
  <c r="K115" i="1"/>
  <c r="I116" i="1"/>
  <c r="J116" i="1" s="1"/>
  <c r="K116" i="1" s="1"/>
  <c r="H116" i="1"/>
  <c r="H113" i="1"/>
  <c r="H114" i="1"/>
  <c r="H115" i="1"/>
  <c r="H112" i="1"/>
  <c r="I110" i="1"/>
  <c r="J110" i="1" s="1"/>
  <c r="K110" i="1" s="1"/>
  <c r="I111" i="1"/>
  <c r="J111" i="1" s="1"/>
  <c r="K111" i="1" s="1"/>
  <c r="H111" i="1"/>
  <c r="H110" i="1"/>
  <c r="E119" i="1"/>
  <c r="D119" i="1" s="1"/>
  <c r="C119" i="1" s="1"/>
  <c r="E118" i="1"/>
  <c r="D118" i="1" s="1"/>
  <c r="C118" i="1" s="1"/>
  <c r="E117" i="1"/>
  <c r="D117" i="1" s="1"/>
  <c r="C117" i="1" s="1"/>
  <c r="E116" i="1"/>
  <c r="D116" i="1" s="1"/>
  <c r="C116" i="1" s="1"/>
  <c r="E115" i="1"/>
  <c r="D115" i="1" s="1"/>
  <c r="C115" i="1" s="1"/>
  <c r="E114" i="1"/>
  <c r="D114" i="1" s="1"/>
  <c r="C114" i="1" s="1"/>
  <c r="E113" i="1"/>
  <c r="D113" i="1" s="1"/>
  <c r="C113" i="1" s="1"/>
  <c r="E112" i="1"/>
  <c r="D112" i="1" s="1"/>
  <c r="C112" i="1" s="1"/>
  <c r="C111" i="1"/>
  <c r="D111" i="1"/>
  <c r="E111" i="1"/>
  <c r="E110" i="1"/>
  <c r="D110" i="1" s="1"/>
  <c r="C110" i="1" s="1"/>
  <c r="F119" i="1"/>
  <c r="F118" i="1"/>
  <c r="F117" i="1"/>
  <c r="F112" i="1"/>
  <c r="F113" i="1"/>
  <c r="F111" i="1"/>
  <c r="F114" i="1"/>
  <c r="F115" i="1"/>
  <c r="F116" i="1"/>
  <c r="F110" i="1"/>
  <c r="K103" i="1"/>
  <c r="I102" i="1"/>
  <c r="D103" i="1"/>
  <c r="E103" i="1"/>
  <c r="F103" i="1"/>
  <c r="G103" i="1"/>
  <c r="H103" i="1"/>
  <c r="I103" i="1"/>
  <c r="J103" i="1"/>
  <c r="C103" i="1"/>
  <c r="D102" i="1"/>
  <c r="E102" i="1"/>
  <c r="F102" i="1"/>
  <c r="G102" i="1"/>
  <c r="H102" i="1"/>
  <c r="J102" i="1"/>
  <c r="K102" i="1"/>
  <c r="E101" i="1"/>
  <c r="F101" i="1"/>
  <c r="G101" i="1"/>
  <c r="H101" i="1"/>
  <c r="I101" i="1"/>
  <c r="J101" i="1"/>
  <c r="K101" i="1"/>
  <c r="D101" i="1"/>
  <c r="E100" i="1"/>
  <c r="F100" i="1"/>
  <c r="G100" i="1"/>
  <c r="H100" i="1"/>
  <c r="I100" i="1"/>
  <c r="J100" i="1"/>
  <c r="K100" i="1"/>
  <c r="D100" i="1"/>
  <c r="E99" i="1"/>
  <c r="F99" i="1"/>
  <c r="G99" i="1"/>
  <c r="H99" i="1"/>
  <c r="I99" i="1"/>
  <c r="J99" i="1"/>
  <c r="K99" i="1"/>
  <c r="D99" i="1"/>
  <c r="E98" i="1"/>
  <c r="F98" i="1"/>
  <c r="G98" i="1"/>
  <c r="H98" i="1"/>
  <c r="I98" i="1"/>
  <c r="J98" i="1"/>
  <c r="K98" i="1"/>
  <c r="D98" i="1"/>
  <c r="E97" i="1"/>
  <c r="F97" i="1"/>
  <c r="G97" i="1"/>
  <c r="H97" i="1"/>
  <c r="I97" i="1"/>
  <c r="J97" i="1"/>
  <c r="K97" i="1"/>
  <c r="D97" i="1"/>
  <c r="E96" i="1"/>
  <c r="F96" i="1"/>
  <c r="G96" i="1"/>
  <c r="H96" i="1"/>
  <c r="I96" i="1"/>
  <c r="J96" i="1"/>
  <c r="K96" i="1"/>
  <c r="D96" i="1"/>
  <c r="E95" i="1"/>
  <c r="F95" i="1"/>
  <c r="G95" i="1"/>
  <c r="H95" i="1"/>
  <c r="I95" i="1"/>
  <c r="J95" i="1"/>
  <c r="K95" i="1"/>
  <c r="D95" i="1"/>
  <c r="E94" i="1"/>
  <c r="F94" i="1"/>
  <c r="G94" i="1"/>
  <c r="H94" i="1"/>
  <c r="I94" i="1"/>
  <c r="J94" i="1"/>
  <c r="K94" i="1"/>
  <c r="D94" i="1"/>
  <c r="E93" i="1"/>
  <c r="F93" i="1"/>
  <c r="G93" i="1"/>
  <c r="H93" i="1"/>
  <c r="I93" i="1"/>
  <c r="J93" i="1"/>
  <c r="K93" i="1"/>
  <c r="D93" i="1"/>
  <c r="E92" i="1"/>
  <c r="F92" i="1"/>
  <c r="G92" i="1"/>
  <c r="H92" i="1"/>
  <c r="I92" i="1"/>
  <c r="J92" i="1"/>
  <c r="K92" i="1"/>
  <c r="D92" i="1"/>
  <c r="C102" i="1"/>
  <c r="C101" i="1"/>
  <c r="C100" i="1"/>
  <c r="C99" i="1"/>
  <c r="C98" i="1"/>
  <c r="C97" i="1"/>
  <c r="C96" i="1"/>
  <c r="C95" i="1"/>
  <c r="C94" i="1"/>
  <c r="C93" i="1"/>
  <c r="C92" i="1"/>
  <c r="F89" i="1" l="1"/>
  <c r="F30" i="1"/>
  <c r="D32" i="1" s="1"/>
  <c r="D35" i="1" s="1"/>
  <c r="E35" i="1" s="1"/>
  <c r="F35" i="1" s="1"/>
  <c r="G35" i="1" s="1"/>
  <c r="H35" i="1" s="1"/>
  <c r="I35" i="1" s="1"/>
  <c r="J35" i="1" s="1"/>
  <c r="K35" i="1" s="1"/>
  <c r="L35" i="1" s="1"/>
  <c r="M35" i="1" s="1"/>
  <c r="D18" i="1"/>
  <c r="D23" i="1" s="1"/>
  <c r="D25" i="1" s="1"/>
  <c r="J8" i="1"/>
  <c r="H8" i="1"/>
  <c r="G8" i="1"/>
  <c r="F8" i="1"/>
  <c r="E8" i="1"/>
  <c r="I8" i="1"/>
  <c r="E23" i="1" l="1"/>
  <c r="E25" i="1" s="1"/>
  <c r="D10" i="1"/>
  <c r="G73" i="1" s="1"/>
  <c r="D56" i="1"/>
  <c r="D45" i="1"/>
  <c r="F73" i="1" l="1"/>
  <c r="G85" i="1"/>
  <c r="C55" i="1"/>
  <c r="C59" i="1" s="1"/>
  <c r="D46" i="1"/>
  <c r="E45" i="1"/>
  <c r="F23" i="1"/>
  <c r="F25" i="1" s="1"/>
  <c r="E56" i="1"/>
  <c r="D50" i="1" l="1"/>
  <c r="D57" i="1" s="1"/>
  <c r="D59" i="1" s="1"/>
  <c r="F85" i="1"/>
  <c r="E73" i="1"/>
  <c r="H73" i="1"/>
  <c r="H85" i="1" s="1"/>
  <c r="E46" i="1"/>
  <c r="E50" i="1" s="1"/>
  <c r="E57" i="1" s="1"/>
  <c r="E59" i="1" s="1"/>
  <c r="G23" i="1"/>
  <c r="G25" i="1" s="1"/>
  <c r="F45" i="1"/>
  <c r="F56" i="1"/>
  <c r="D73" i="1" l="1"/>
  <c r="E85" i="1"/>
  <c r="I73" i="1"/>
  <c r="I85" i="1" s="1"/>
  <c r="F46" i="1"/>
  <c r="F50" i="1" s="1"/>
  <c r="F57" i="1" s="1"/>
  <c r="F59" i="1" s="1"/>
  <c r="G56" i="1"/>
  <c r="G45" i="1"/>
  <c r="H23" i="1"/>
  <c r="H25" i="1" s="1"/>
  <c r="C73" i="1" l="1"/>
  <c r="C85" i="1" s="1"/>
  <c r="D85" i="1"/>
  <c r="J73" i="1"/>
  <c r="J85" i="1" s="1"/>
  <c r="G46" i="1"/>
  <c r="G50" i="1" s="1"/>
  <c r="G57" i="1" s="1"/>
  <c r="G59" i="1" s="1"/>
  <c r="I23" i="1"/>
  <c r="I25" i="1" s="1"/>
  <c r="H56" i="1"/>
  <c r="H45" i="1"/>
  <c r="K73" i="1" l="1"/>
  <c r="K85" i="1" s="1"/>
  <c r="H46" i="1"/>
  <c r="H50" i="1" s="1"/>
  <c r="H57" i="1" s="1"/>
  <c r="H59" i="1" s="1"/>
  <c r="I45" i="1"/>
  <c r="I56" i="1"/>
  <c r="J23" i="1"/>
  <c r="I46" i="1" l="1"/>
  <c r="I50" i="1" s="1"/>
  <c r="I57" i="1" s="1"/>
  <c r="I59" i="1" s="1"/>
  <c r="J25" i="1"/>
  <c r="J45" i="1" s="1"/>
  <c r="K23" i="1"/>
  <c r="L23" i="1" s="1"/>
  <c r="M23" i="1" s="1"/>
  <c r="J56" i="1"/>
  <c r="K25" i="1" l="1"/>
  <c r="K45" i="1" s="1"/>
  <c r="J46" i="1"/>
  <c r="J50" i="1" s="1"/>
  <c r="J57" i="1" s="1"/>
  <c r="J59" i="1" s="1"/>
  <c r="K56" i="1"/>
  <c r="L25" i="1"/>
  <c r="K46" i="1" l="1"/>
  <c r="K50" i="1" s="1"/>
  <c r="K57" i="1" s="1"/>
  <c r="K59" i="1" s="1"/>
  <c r="L56" i="1"/>
  <c r="L45" i="1"/>
  <c r="M25" i="1"/>
  <c r="L46" i="1" l="1"/>
  <c r="L50" i="1" s="1"/>
  <c r="L57" i="1" s="1"/>
  <c r="L59" i="1" s="1"/>
  <c r="M45" i="1"/>
  <c r="M56" i="1"/>
  <c r="M46" i="1" l="1"/>
  <c r="M50" i="1" s="1"/>
  <c r="M57" i="1" s="1"/>
  <c r="M59" i="1" s="1"/>
  <c r="J84" i="1" s="1"/>
  <c r="C63" i="1" l="1"/>
  <c r="G84" i="1"/>
  <c r="F84" i="1"/>
  <c r="H84" i="1"/>
  <c r="I84" i="1"/>
  <c r="E84" i="1"/>
  <c r="D84" i="1"/>
  <c r="K84" i="1"/>
  <c r="C84" i="1"/>
  <c r="C62" i="1"/>
</calcChain>
</file>

<file path=xl/sharedStrings.xml><?xml version="1.0" encoding="utf-8"?>
<sst xmlns="http://schemas.openxmlformats.org/spreadsheetml/2006/main" count="72" uniqueCount="53">
  <si>
    <t>投资估算</t>
    <phoneticPr fontId="1" type="noConversion"/>
  </si>
  <si>
    <t>经营期收入</t>
    <phoneticPr fontId="1" type="noConversion"/>
  </si>
  <si>
    <t>经营期成本估算</t>
    <phoneticPr fontId="1" type="noConversion"/>
  </si>
  <si>
    <t>项目投资经济性分析：</t>
    <phoneticPr fontId="1" type="noConversion"/>
  </si>
  <si>
    <t>加盟费</t>
    <phoneticPr fontId="1" type="noConversion"/>
  </si>
  <si>
    <t>设备</t>
    <phoneticPr fontId="1" type="noConversion"/>
  </si>
  <si>
    <t>转让费</t>
    <phoneticPr fontId="1" type="noConversion"/>
  </si>
  <si>
    <t>装修</t>
    <phoneticPr fontId="1" type="noConversion"/>
  </si>
  <si>
    <t>培训费</t>
    <phoneticPr fontId="1" type="noConversion"/>
  </si>
  <si>
    <t>履约保证金</t>
    <phoneticPr fontId="1" type="noConversion"/>
  </si>
  <si>
    <t>员工工资</t>
    <phoneticPr fontId="1" type="noConversion"/>
  </si>
  <si>
    <t>物料原料</t>
    <phoneticPr fontId="1" type="noConversion"/>
  </si>
  <si>
    <t>设备折旧</t>
    <phoneticPr fontId="1" type="noConversion"/>
  </si>
  <si>
    <t>其他成本</t>
    <phoneticPr fontId="1" type="noConversion"/>
  </si>
  <si>
    <t>增长期，10%</t>
    <phoneticPr fontId="1" type="noConversion"/>
  </si>
  <si>
    <t>衰退，-20%</t>
    <phoneticPr fontId="1" type="noConversion"/>
  </si>
  <si>
    <t>要素</t>
    <phoneticPr fontId="1" type="noConversion"/>
  </si>
  <si>
    <t>其他</t>
    <phoneticPr fontId="1" type="noConversion"/>
  </si>
  <si>
    <t>数量</t>
    <phoneticPr fontId="1" type="noConversion"/>
  </si>
  <si>
    <t>价格</t>
    <phoneticPr fontId="1" type="noConversion"/>
  </si>
  <si>
    <t>汇总要素</t>
    <phoneticPr fontId="1" type="noConversion"/>
  </si>
  <si>
    <t>总投资</t>
    <phoneticPr fontId="1" type="noConversion"/>
  </si>
  <si>
    <t>日均顾客数量</t>
    <phoneticPr fontId="1" type="noConversion"/>
  </si>
  <si>
    <t>首年营收</t>
    <phoneticPr fontId="1" type="noConversion"/>
  </si>
  <si>
    <t>线下</t>
    <phoneticPr fontId="1" type="noConversion"/>
  </si>
  <si>
    <t>线上</t>
    <phoneticPr fontId="1" type="noConversion"/>
  </si>
  <si>
    <t>年份</t>
    <phoneticPr fontId="1" type="noConversion"/>
  </si>
  <si>
    <t>年营收</t>
    <phoneticPr fontId="1" type="noConversion"/>
  </si>
  <si>
    <t>需求数</t>
    <phoneticPr fontId="1" type="noConversion"/>
  </si>
  <si>
    <t>稳定期，0%</t>
    <phoneticPr fontId="1" type="noConversion"/>
  </si>
  <si>
    <t>固定成本</t>
    <phoneticPr fontId="1" type="noConversion"/>
  </si>
  <si>
    <t>房租</t>
    <phoneticPr fontId="1" type="noConversion"/>
  </si>
  <si>
    <t>总固定成本</t>
    <phoneticPr fontId="1" type="noConversion"/>
  </si>
  <si>
    <t>变动成本</t>
    <phoneticPr fontId="1" type="noConversion"/>
  </si>
  <si>
    <t>需求</t>
    <phoneticPr fontId="1" type="noConversion"/>
  </si>
  <si>
    <t>总变动成本</t>
    <phoneticPr fontId="1" type="noConversion"/>
  </si>
  <si>
    <t>总成本</t>
    <phoneticPr fontId="1" type="noConversion"/>
  </si>
  <si>
    <t>单位变动成本</t>
    <phoneticPr fontId="1" type="noConversion"/>
  </si>
  <si>
    <t>营业收入</t>
    <phoneticPr fontId="1" type="noConversion"/>
  </si>
  <si>
    <t>营业成本</t>
    <phoneticPr fontId="1" type="noConversion"/>
  </si>
  <si>
    <t>NCF</t>
    <phoneticPr fontId="1" type="noConversion"/>
  </si>
  <si>
    <t>NPV</t>
    <phoneticPr fontId="1" type="noConversion"/>
  </si>
  <si>
    <t>IRR</t>
    <phoneticPr fontId="1" type="noConversion"/>
  </si>
  <si>
    <t>总数</t>
    <phoneticPr fontId="1" type="noConversion"/>
  </si>
  <si>
    <t>加盟X品牌奶茶店投资分析</t>
    <phoneticPr fontId="1" type="noConversion"/>
  </si>
  <si>
    <t>敏感性分析</t>
    <phoneticPr fontId="1" type="noConversion"/>
  </si>
  <si>
    <t>投资额变动</t>
    <phoneticPr fontId="1" type="noConversion"/>
  </si>
  <si>
    <t>变动率</t>
    <phoneticPr fontId="1" type="noConversion"/>
  </si>
  <si>
    <t>客单价变化</t>
    <phoneticPr fontId="1" type="noConversion"/>
  </si>
  <si>
    <t>客单价</t>
    <phoneticPr fontId="1" type="noConversion"/>
  </si>
  <si>
    <t>成本变化</t>
    <phoneticPr fontId="1" type="noConversion"/>
  </si>
  <si>
    <t>投资回收期/年</t>
    <phoneticPr fontId="1" type="noConversion"/>
  </si>
  <si>
    <t>净年值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</si>
</sst>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¥&quot;#,##0.00_);[Red]\(&quot;¥&quot;#,##0.00\)"/>
    <numFmt numFmtId="176" formatCode="0.00_);[Red]\(0.00\)"/>
    <numFmt numFmtId="177" formatCode="0.0_);[Red]\(0.0\)"/>
  </numFmts>
  <fonts count="2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等线"/>
      <family val="2"/>
      <scheme val="minor"/>
    </font>
    <font>
      <sz val="14"/>
      <color theme="1"/>
      <name val="宋体"/>
      <family val="3"/>
      <charset val="134"/>
    </font>
    <font>
      <sz val="14"/>
      <color theme="1"/>
      <name val="等线"/>
      <family val="2"/>
      <charset val="134"/>
      <scheme val="minor"/>
    </font>
    <font>
      <b/>
      <sz val="26"/>
      <color rgb="FFFF0000"/>
      <name val="楷体"/>
      <family val="3"/>
      <charset val="134"/>
    </font>
    <font>
      <sz val="48"/>
      <color theme="1"/>
      <name val="等线"/>
      <family val="2"/>
      <charset val="134"/>
      <scheme val="minor"/>
    </font>
    <font>
      <b/>
      <sz val="16"/>
      <color theme="1" tint="0.14999847407452621"/>
      <name val="仿宋"/>
      <family val="3"/>
      <charset val="134"/>
    </font>
    <font>
      <b/>
      <sz val="16"/>
      <color theme="1"/>
      <name val="等线"/>
      <family val="2"/>
      <charset val="134"/>
      <scheme val="minor"/>
    </font>
    <font>
      <sz val="16"/>
      <color theme="1"/>
      <name val="等线"/>
      <family val="2"/>
      <charset val="134"/>
      <scheme val="minor"/>
    </font>
    <font>
      <sz val="16"/>
      <color theme="1"/>
      <name val="宋体"/>
      <family val="3"/>
      <charset val="134"/>
    </font>
    <font>
      <b/>
      <sz val="16"/>
      <color rgb="FFC00000"/>
      <name val="仿宋"/>
      <family val="3"/>
      <charset val="134"/>
    </font>
    <font>
      <b/>
      <sz val="16"/>
      <color rgb="FFFF0000"/>
      <name val="宋体"/>
      <family val="3"/>
      <charset val="134"/>
    </font>
    <font>
      <b/>
      <sz val="16"/>
      <color rgb="FFFF0000"/>
      <name val="等线"/>
      <family val="2"/>
      <scheme val="minor"/>
    </font>
    <font>
      <sz val="16"/>
      <color theme="1" tint="0.14999847407452621"/>
      <name val="仿宋"/>
      <family val="3"/>
      <charset val="134"/>
    </font>
    <font>
      <b/>
      <sz val="18"/>
      <color rgb="FFC00000"/>
      <name val="仿宋"/>
      <family val="3"/>
      <charset val="134"/>
    </font>
    <font>
      <b/>
      <sz val="16"/>
      <color theme="1"/>
      <name val="宋体"/>
      <family val="3"/>
      <charset val="134"/>
    </font>
    <font>
      <b/>
      <sz val="48"/>
      <color rgb="FF002060"/>
      <name val="楷体"/>
      <family val="3"/>
      <charset val="134"/>
    </font>
    <font>
      <sz val="48"/>
      <color rgb="FF002060"/>
      <name val="等线"/>
      <family val="2"/>
      <charset val="134"/>
      <scheme val="minor"/>
    </font>
    <font>
      <b/>
      <sz val="16"/>
      <color rgb="FFC00000"/>
      <name val="宋体"/>
      <family val="3"/>
      <charset val="134"/>
    </font>
    <font>
      <b/>
      <sz val="20"/>
      <color theme="1" tint="0.14999847407452621"/>
      <name val="仿宋"/>
      <family val="3"/>
      <charset val="134"/>
    </font>
    <font>
      <b/>
      <sz val="20"/>
      <color rgb="FFC00000"/>
      <name val="仿宋"/>
      <family val="3"/>
      <charset val="134"/>
    </font>
    <font>
      <b/>
      <sz val="20"/>
      <color rgb="FFFF0000"/>
      <name val="宋体"/>
      <family val="3"/>
      <charset val="134"/>
    </font>
    <font>
      <sz val="22"/>
      <color theme="1"/>
      <name val="等线"/>
      <family val="4"/>
      <charset val="134"/>
      <scheme val="minor"/>
    </font>
    <font>
      <b/>
      <sz val="20"/>
      <color rgb="FF002060"/>
      <name val="仿宋"/>
      <family val="3"/>
      <charset val="134"/>
    </font>
    <font>
      <b/>
      <sz val="18"/>
      <color theme="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A79FF"/>
        <bgColor indexed="64"/>
      </patternFill>
    </fill>
    <fill>
      <patternFill patternType="solid">
        <fgColor rgb="FF4DCA1A"/>
        <bgColor indexed="64"/>
      </patternFill>
    </fill>
    <fill>
      <patternFill patternType="solid">
        <fgColor rgb="FF929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4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13" fillId="0" borderId="0" xfId="0" applyFont="1" applyAlignment="1"/>
    <xf numFmtId="0" fontId="17" fillId="6" borderId="0" xfId="0" applyFont="1" applyFill="1" applyAlignment="1"/>
    <xf numFmtId="0" fontId="18" fillId="6" borderId="0" xfId="0" applyFont="1" applyFill="1">
      <alignment vertical="center"/>
    </xf>
    <xf numFmtId="0" fontId="6" fillId="7" borderId="0" xfId="0" applyFont="1" applyFill="1">
      <alignment vertical="center"/>
    </xf>
    <xf numFmtId="0" fontId="0" fillId="8" borderId="0" xfId="0" applyFill="1" applyAlignment="1"/>
    <xf numFmtId="0" fontId="10" fillId="8" borderId="0" xfId="0" applyFont="1" applyFill="1" applyAlignment="1"/>
    <xf numFmtId="0" fontId="9" fillId="8" borderId="0" xfId="0" applyFont="1" applyFill="1" applyAlignment="1"/>
    <xf numFmtId="0" fontId="2" fillId="8" borderId="0" xfId="0" applyFont="1" applyFill="1" applyAlignment="1"/>
    <xf numFmtId="0" fontId="12" fillId="8" borderId="0" xfId="0" applyFont="1" applyFill="1" applyAlignment="1"/>
    <xf numFmtId="0" fontId="9" fillId="9" borderId="0" xfId="0" applyFont="1" applyFill="1" applyAlignment="1"/>
    <xf numFmtId="0" fontId="0" fillId="9" borderId="0" xfId="0" applyFill="1" applyAlignment="1"/>
    <xf numFmtId="0" fontId="14" fillId="9" borderId="0" xfId="0" applyFont="1" applyFill="1" applyAlignment="1"/>
    <xf numFmtId="0" fontId="2" fillId="9" borderId="0" xfId="0" applyFont="1" applyFill="1" applyAlignment="1"/>
    <xf numFmtId="0" fontId="5" fillId="10" borderId="0" xfId="0" applyFont="1" applyFill="1" applyAlignment="1"/>
    <xf numFmtId="0" fontId="0" fillId="10" borderId="0" xfId="0" applyFill="1" applyAlignment="1"/>
    <xf numFmtId="0" fontId="4" fillId="10" borderId="0" xfId="0" applyFont="1" applyFill="1" applyAlignment="1"/>
    <xf numFmtId="0" fontId="7" fillId="10" borderId="0" xfId="0" applyFont="1" applyFill="1" applyAlignment="1"/>
    <xf numFmtId="0" fontId="9" fillId="10" borderId="0" xfId="0" applyFont="1" applyFill="1" applyAlignment="1"/>
    <xf numFmtId="0" fontId="10" fillId="10" borderId="0" xfId="0" applyFont="1" applyFill="1" applyAlignment="1"/>
    <xf numFmtId="0" fontId="14" fillId="10" borderId="0" xfId="0" applyFont="1" applyFill="1" applyAlignment="1"/>
    <xf numFmtId="0" fontId="0" fillId="10" borderId="0" xfId="0" applyFill="1">
      <alignment vertical="center"/>
    </xf>
    <xf numFmtId="0" fontId="2" fillId="10" borderId="0" xfId="0" applyFont="1" applyFill="1" applyAlignment="1"/>
    <xf numFmtId="0" fontId="4" fillId="11" borderId="0" xfId="0" applyFont="1" applyFill="1" applyAlignment="1"/>
    <xf numFmtId="0" fontId="0" fillId="11" borderId="0" xfId="0" applyFill="1" applyAlignment="1"/>
    <xf numFmtId="0" fontId="16" fillId="11" borderId="0" xfId="0" applyFont="1" applyFill="1" applyAlignment="1"/>
    <xf numFmtId="0" fontId="8" fillId="11" borderId="0" xfId="0" applyFont="1" applyFill="1" applyAlignment="1"/>
    <xf numFmtId="0" fontId="2" fillId="11" borderId="0" xfId="0" applyFont="1" applyFill="1" applyAlignment="1"/>
    <xf numFmtId="0" fontId="7" fillId="8" borderId="1" xfId="0" applyFont="1" applyFill="1" applyBorder="1" applyAlignment="1"/>
    <xf numFmtId="0" fontId="10" fillId="8" borderId="1" xfId="0" applyFont="1" applyFill="1" applyBorder="1" applyAlignment="1">
      <alignment horizontal="center"/>
    </xf>
    <xf numFmtId="0" fontId="10" fillId="8" borderId="1" xfId="0" applyFont="1" applyFill="1" applyBorder="1" applyAlignment="1"/>
    <xf numFmtId="0" fontId="8" fillId="9" borderId="1" xfId="0" applyFont="1" applyFill="1" applyBorder="1" applyAlignment="1"/>
    <xf numFmtId="0" fontId="9" fillId="9" borderId="1" xfId="0" applyFont="1" applyFill="1" applyBorder="1" applyAlignment="1"/>
    <xf numFmtId="0" fontId="0" fillId="9" borderId="1" xfId="0" applyFill="1" applyBorder="1">
      <alignment vertical="center"/>
    </xf>
    <xf numFmtId="0" fontId="10" fillId="4" borderId="1" xfId="0" applyFont="1" applyFill="1" applyBorder="1" applyAlignment="1"/>
    <xf numFmtId="0" fontId="10" fillId="3" borderId="1" xfId="0" applyFont="1" applyFill="1" applyBorder="1" applyAlignment="1"/>
    <xf numFmtId="0" fontId="10" fillId="5" borderId="1" xfId="0" applyFont="1" applyFill="1" applyBorder="1" applyAlignment="1"/>
    <xf numFmtId="0" fontId="19" fillId="4" borderId="1" xfId="0" applyFont="1" applyFill="1" applyBorder="1" applyAlignment="1"/>
    <xf numFmtId="0" fontId="19" fillId="3" borderId="1" xfId="0" applyFont="1" applyFill="1" applyBorder="1" applyAlignment="1"/>
    <xf numFmtId="0" fontId="19" fillId="5" borderId="1" xfId="0" applyFont="1" applyFill="1" applyBorder="1" applyAlignment="1"/>
    <xf numFmtId="0" fontId="16" fillId="4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0" fontId="16" fillId="3" borderId="1" xfId="0" applyFont="1" applyFill="1" applyBorder="1" applyAlignment="1"/>
    <xf numFmtId="0" fontId="10" fillId="10" borderId="1" xfId="0" applyFont="1" applyFill="1" applyBorder="1" applyAlignment="1"/>
    <xf numFmtId="0" fontId="8" fillId="9" borderId="0" xfId="0" applyFont="1" applyFill="1" applyAlignment="1"/>
    <xf numFmtId="0" fontId="10" fillId="9" borderId="0" xfId="0" applyFont="1" applyFill="1" applyAlignment="1"/>
    <xf numFmtId="0" fontId="16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/>
    <xf numFmtId="0" fontId="11" fillId="2" borderId="4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12" fillId="10" borderId="2" xfId="0" applyFont="1" applyFill="1" applyBorder="1" applyAlignment="1"/>
    <xf numFmtId="0" fontId="12" fillId="10" borderId="11" xfId="0" applyFont="1" applyFill="1" applyBorder="1" applyAlignment="1"/>
    <xf numFmtId="0" fontId="10" fillId="9" borderId="2" xfId="0" applyFont="1" applyFill="1" applyBorder="1" applyAlignment="1"/>
    <xf numFmtId="0" fontId="10" fillId="9" borderId="11" xfId="0" applyFont="1" applyFill="1" applyBorder="1" applyAlignment="1"/>
    <xf numFmtId="0" fontId="7" fillId="10" borderId="12" xfId="0" applyFont="1" applyFill="1" applyBorder="1" applyAlignment="1"/>
    <xf numFmtId="0" fontId="20" fillId="10" borderId="12" xfId="0" applyFont="1" applyFill="1" applyBorder="1" applyAlignment="1">
      <alignment horizontal="center"/>
    </xf>
    <xf numFmtId="0" fontId="21" fillId="9" borderId="3" xfId="0" applyFont="1" applyFill="1" applyBorder="1" applyAlignment="1"/>
    <xf numFmtId="0" fontId="7" fillId="9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9" borderId="10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0" fontId="15" fillId="10" borderId="10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21" fillId="8" borderId="13" xfId="0" applyFont="1" applyFill="1" applyBorder="1" applyAlignment="1">
      <alignment horizontal="center"/>
    </xf>
    <xf numFmtId="0" fontId="22" fillId="9" borderId="3" xfId="0" applyFont="1" applyFill="1" applyBorder="1" applyAlignment="1">
      <alignment horizontal="center"/>
    </xf>
    <xf numFmtId="0" fontId="22" fillId="8" borderId="13" xfId="0" applyFont="1" applyFill="1" applyBorder="1" applyAlignment="1">
      <alignment horizontal="center"/>
    </xf>
    <xf numFmtId="0" fontId="22" fillId="10" borderId="9" xfId="0" applyFont="1" applyFill="1" applyBorder="1" applyAlignment="1">
      <alignment horizontal="center"/>
    </xf>
    <xf numFmtId="0" fontId="21" fillId="10" borderId="8" xfId="0" applyFont="1" applyFill="1" applyBorder="1" applyAlignment="1">
      <alignment horizontal="center"/>
    </xf>
    <xf numFmtId="0" fontId="4" fillId="12" borderId="0" xfId="0" applyFont="1" applyFill="1" applyAlignment="1"/>
    <xf numFmtId="0" fontId="0" fillId="12" borderId="0" xfId="0" applyFill="1" applyAlignment="1"/>
    <xf numFmtId="0" fontId="24" fillId="12" borderId="1" xfId="0" applyFont="1" applyFill="1" applyBorder="1" applyAlignment="1">
      <alignment horizontal="center"/>
    </xf>
    <xf numFmtId="0" fontId="0" fillId="12" borderId="0" xfId="0" applyFill="1">
      <alignment vertical="center"/>
    </xf>
    <xf numFmtId="0" fontId="7" fillId="12" borderId="1" xfId="0" applyFont="1" applyFill="1" applyBorder="1" applyAlignment="1">
      <alignment horizontal="center"/>
    </xf>
    <xf numFmtId="0" fontId="0" fillId="12" borderId="15" xfId="0" applyFill="1" applyBorder="1" applyAlignment="1"/>
    <xf numFmtId="0" fontId="4" fillId="12" borderId="16" xfId="0" applyFont="1" applyFill="1" applyBorder="1" applyAlignment="1"/>
    <xf numFmtId="0" fontId="4" fillId="12" borderId="17" xfId="0" applyFont="1" applyFill="1" applyBorder="1" applyAlignment="1"/>
    <xf numFmtId="0" fontId="0" fillId="12" borderId="18" xfId="0" applyFill="1" applyBorder="1" applyAlignment="1"/>
    <xf numFmtId="9" fontId="4" fillId="12" borderId="0" xfId="0" applyNumberFormat="1" applyFont="1" applyFill="1" applyAlignment="1"/>
    <xf numFmtId="9" fontId="4" fillId="12" borderId="14" xfId="0" applyNumberFormat="1" applyFont="1" applyFill="1" applyBorder="1" applyAlignment="1"/>
    <xf numFmtId="0" fontId="4" fillId="12" borderId="14" xfId="0" applyFont="1" applyFill="1" applyBorder="1" applyAlignment="1"/>
    <xf numFmtId="176" fontId="4" fillId="12" borderId="0" xfId="0" applyNumberFormat="1" applyFont="1" applyFill="1" applyAlignment="1"/>
    <xf numFmtId="176" fontId="4" fillId="12" borderId="14" xfId="0" applyNumberFormat="1" applyFont="1" applyFill="1" applyBorder="1" applyAlignment="1"/>
    <xf numFmtId="8" fontId="4" fillId="12" borderId="0" xfId="0" applyNumberFormat="1" applyFont="1" applyFill="1" applyAlignment="1"/>
    <xf numFmtId="8" fontId="4" fillId="12" borderId="14" xfId="0" applyNumberFormat="1" applyFont="1" applyFill="1" applyBorder="1" applyAlignment="1"/>
    <xf numFmtId="0" fontId="0" fillId="12" borderId="20" xfId="0" applyFill="1" applyBorder="1" applyAlignment="1"/>
    <xf numFmtId="9" fontId="4" fillId="12" borderId="3" xfId="0" applyNumberFormat="1" applyFont="1" applyFill="1" applyBorder="1" applyAlignment="1"/>
    <xf numFmtId="9" fontId="4" fillId="12" borderId="21" xfId="0" applyNumberFormat="1" applyFont="1" applyFill="1" applyBorder="1" applyAlignment="1"/>
    <xf numFmtId="10" fontId="4" fillId="12" borderId="3" xfId="0" applyNumberFormat="1" applyFont="1" applyFill="1" applyBorder="1" applyAlignment="1"/>
    <xf numFmtId="10" fontId="4" fillId="12" borderId="21" xfId="0" applyNumberFormat="1" applyFont="1" applyFill="1" applyBorder="1" applyAlignment="1"/>
    <xf numFmtId="9" fontId="4" fillId="12" borderId="16" xfId="0" applyNumberFormat="1" applyFont="1" applyFill="1" applyBorder="1" applyAlignment="1"/>
    <xf numFmtId="9" fontId="4" fillId="12" borderId="17" xfId="0" applyNumberFormat="1" applyFont="1" applyFill="1" applyBorder="1" applyAlignment="1"/>
    <xf numFmtId="0" fontId="0" fillId="12" borderId="19" xfId="0" applyFill="1" applyBorder="1" applyAlignment="1"/>
    <xf numFmtId="177" fontId="4" fillId="12" borderId="0" xfId="0" applyNumberFormat="1" applyFont="1" applyFill="1" applyAlignment="1"/>
    <xf numFmtId="0" fontId="16" fillId="2" borderId="5" xfId="0" applyFont="1" applyFill="1" applyBorder="1" applyAlignment="1">
      <alignment horizontal="center"/>
    </xf>
    <xf numFmtId="10" fontId="16" fillId="2" borderId="7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23" fillId="12" borderId="19" xfId="0" applyFont="1" applyFill="1" applyBorder="1" applyAlignment="1">
      <alignment horizontal="right" vertical="center"/>
    </xf>
    <xf numFmtId="0" fontId="5" fillId="11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25" fillId="12" borderId="10" xfId="0" applyFont="1" applyFill="1" applyBorder="1" applyAlignment="1"/>
    <xf numFmtId="176" fontId="25" fillId="12" borderId="1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929000"/>
      <color rgb="FF1A79FF"/>
      <color rgb="FF4DCA1A"/>
      <color rgb="FF1AC0C6"/>
      <color rgb="FF9815C3"/>
      <color rgb="FF8178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投资估算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8012489063867015"/>
          <c:y val="0.17576407115777196"/>
          <c:w val="0.75887510936132985"/>
          <c:h val="0.6063644648585593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Sheet1!$C$6</c:f>
              <c:strCache>
                <c:ptCount val="1"/>
                <c:pt idx="0">
                  <c:v>数量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Sheet1!$D$5:$J$5</c:f>
              <c:strCache>
                <c:ptCount val="7"/>
                <c:pt idx="0">
                  <c:v>加盟费</c:v>
                </c:pt>
                <c:pt idx="1">
                  <c:v>设备</c:v>
                </c:pt>
                <c:pt idx="2">
                  <c:v>转让费</c:v>
                </c:pt>
                <c:pt idx="3">
                  <c:v>装修</c:v>
                </c:pt>
                <c:pt idx="4">
                  <c:v>培训费</c:v>
                </c:pt>
                <c:pt idx="5">
                  <c:v>履约保证金</c:v>
                </c:pt>
                <c:pt idx="6">
                  <c:v>其他</c:v>
                </c:pt>
              </c:strCache>
            </c:strRef>
          </c:cat>
          <c:val>
            <c:numRef>
              <c:f>Sheet1!$D$6:$J$6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1-AD4E-8361-865974E39B36}"/>
            </c:ext>
          </c:extLst>
        </c:ser>
        <c:ser>
          <c:idx val="1"/>
          <c:order val="1"/>
          <c:tx>
            <c:strRef>
              <c:f>Sheet1!$C$7</c:f>
              <c:strCache>
                <c:ptCount val="1"/>
                <c:pt idx="0">
                  <c:v>价格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Sheet1!$D$5:$J$5</c:f>
              <c:strCache>
                <c:ptCount val="7"/>
                <c:pt idx="0">
                  <c:v>加盟费</c:v>
                </c:pt>
                <c:pt idx="1">
                  <c:v>设备</c:v>
                </c:pt>
                <c:pt idx="2">
                  <c:v>转让费</c:v>
                </c:pt>
                <c:pt idx="3">
                  <c:v>装修</c:v>
                </c:pt>
                <c:pt idx="4">
                  <c:v>培训费</c:v>
                </c:pt>
                <c:pt idx="5">
                  <c:v>履约保证金</c:v>
                </c:pt>
                <c:pt idx="6">
                  <c:v>其他</c:v>
                </c:pt>
              </c:strCache>
            </c:strRef>
          </c:cat>
          <c:val>
            <c:numRef>
              <c:f>Sheet1!$D$7:$J$7</c:f>
              <c:numCache>
                <c:formatCode>General</c:formatCode>
                <c:ptCount val="7"/>
                <c:pt idx="0">
                  <c:v>50000</c:v>
                </c:pt>
                <c:pt idx="1">
                  <c:v>150000</c:v>
                </c:pt>
                <c:pt idx="2">
                  <c:v>20000</c:v>
                </c:pt>
                <c:pt idx="3">
                  <c:v>100000</c:v>
                </c:pt>
                <c:pt idx="4">
                  <c:v>20000</c:v>
                </c:pt>
                <c:pt idx="5">
                  <c:v>30000</c:v>
                </c:pt>
                <c:pt idx="6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41-AD4E-8361-865974E39B36}"/>
            </c:ext>
          </c:extLst>
        </c:ser>
        <c:ser>
          <c:idx val="2"/>
          <c:order val="2"/>
          <c:tx>
            <c:strRef>
              <c:f>Sheet1!$C$8</c:f>
              <c:strCache>
                <c:ptCount val="1"/>
                <c:pt idx="0">
                  <c:v>汇总要素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Sheet1!$D$5:$J$5</c:f>
              <c:strCache>
                <c:ptCount val="7"/>
                <c:pt idx="0">
                  <c:v>加盟费</c:v>
                </c:pt>
                <c:pt idx="1">
                  <c:v>设备</c:v>
                </c:pt>
                <c:pt idx="2">
                  <c:v>转让费</c:v>
                </c:pt>
                <c:pt idx="3">
                  <c:v>装修</c:v>
                </c:pt>
                <c:pt idx="4">
                  <c:v>培训费</c:v>
                </c:pt>
                <c:pt idx="5">
                  <c:v>履约保证金</c:v>
                </c:pt>
                <c:pt idx="6">
                  <c:v>其他</c:v>
                </c:pt>
              </c:strCache>
            </c:strRef>
          </c:cat>
          <c:val>
            <c:numRef>
              <c:f>Sheet1!$D$8:$J$8</c:f>
              <c:numCache>
                <c:formatCode>General</c:formatCode>
                <c:ptCount val="7"/>
                <c:pt idx="0">
                  <c:v>50000</c:v>
                </c:pt>
                <c:pt idx="1">
                  <c:v>750000</c:v>
                </c:pt>
                <c:pt idx="2">
                  <c:v>20000</c:v>
                </c:pt>
                <c:pt idx="3">
                  <c:v>100000</c:v>
                </c:pt>
                <c:pt idx="4">
                  <c:v>20000</c:v>
                </c:pt>
                <c:pt idx="5">
                  <c:v>30000</c:v>
                </c:pt>
                <c:pt idx="6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41-AD4E-8361-865974E39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2698544"/>
        <c:axId val="1142916288"/>
      </c:barChart>
      <c:catAx>
        <c:axId val="1142698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2916288"/>
        <c:crosses val="autoZero"/>
        <c:auto val="1"/>
        <c:lblAlgn val="ctr"/>
        <c:lblOffset val="100"/>
        <c:noMultiLvlLbl val="0"/>
      </c:catAx>
      <c:valAx>
        <c:axId val="114291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269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861088</xdr:colOff>
      <xdr:row>1</xdr:row>
      <xdr:rowOff>27913</xdr:rowOff>
    </xdr:from>
    <xdr:to>
      <xdr:col>16</xdr:col>
      <xdr:colOff>115835</xdr:colOff>
      <xdr:row>10</xdr:row>
      <xdr:rowOff>259025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813A399-8876-53E7-E600-D680E3A75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FBEC-4954-2D4A-8EEE-9EA469F6F104}">
  <dimension ref="A1:M124"/>
  <sheetViews>
    <sheetView tabSelected="1" topLeftCell="A46" zoomScale="91" workbookViewId="0">
      <selection activeCell="G62" sqref="G62"/>
    </sheetView>
  </sheetViews>
  <sheetFormatPr baseColWidth="10" defaultRowHeight="16"/>
  <cols>
    <col min="1" max="1" width="21.33203125" customWidth="1"/>
    <col min="2" max="2" width="22.83203125" customWidth="1"/>
    <col min="3" max="3" width="19.83203125" customWidth="1"/>
    <col min="4" max="4" width="17" customWidth="1"/>
    <col min="5" max="5" width="20.6640625" customWidth="1"/>
    <col min="6" max="6" width="17" customWidth="1"/>
    <col min="7" max="8" width="19" bestFit="1" customWidth="1"/>
    <col min="9" max="9" width="17.6640625" customWidth="1"/>
    <col min="10" max="11" width="19" bestFit="1" customWidth="1"/>
    <col min="12" max="12" width="17.6640625" customWidth="1"/>
    <col min="13" max="13" width="16" customWidth="1"/>
  </cols>
  <sheetData>
    <row r="1" spans="1:13" ht="62">
      <c r="A1" s="7" t="s">
        <v>44</v>
      </c>
      <c r="B1" s="7"/>
      <c r="C1" s="7"/>
      <c r="D1" s="7"/>
      <c r="E1" s="7"/>
      <c r="F1" s="8"/>
      <c r="G1" s="9"/>
      <c r="H1" s="9"/>
      <c r="I1" s="9"/>
    </row>
    <row r="4" spans="1:13" ht="33">
      <c r="A4" s="110" t="s">
        <v>0</v>
      </c>
      <c r="B4" s="110"/>
      <c r="C4" s="10"/>
      <c r="D4" s="10"/>
      <c r="E4" s="10"/>
      <c r="F4" s="10"/>
      <c r="G4" s="10"/>
      <c r="H4" s="10"/>
      <c r="I4" s="10"/>
      <c r="J4" s="10"/>
      <c r="K4" s="1"/>
      <c r="L4" s="1"/>
      <c r="M4" s="1"/>
    </row>
    <row r="5" spans="1:13" ht="21">
      <c r="A5" s="10"/>
      <c r="B5" s="10"/>
      <c r="C5" s="65" t="s">
        <v>16</v>
      </c>
      <c r="D5" s="65" t="s">
        <v>4</v>
      </c>
      <c r="E5" s="65" t="s">
        <v>5</v>
      </c>
      <c r="F5" s="65" t="s">
        <v>6</v>
      </c>
      <c r="G5" s="65" t="s">
        <v>7</v>
      </c>
      <c r="H5" s="65" t="s">
        <v>8</v>
      </c>
      <c r="I5" s="33" t="s">
        <v>9</v>
      </c>
      <c r="J5" s="65" t="s">
        <v>17</v>
      </c>
      <c r="K5" s="4"/>
      <c r="L5" s="5"/>
      <c r="M5" s="5"/>
    </row>
    <row r="6" spans="1:13" ht="21">
      <c r="A6" s="10"/>
      <c r="B6" s="10"/>
      <c r="C6" s="65" t="s">
        <v>18</v>
      </c>
      <c r="D6" s="34">
        <v>1</v>
      </c>
      <c r="E6" s="34">
        <v>5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5"/>
      <c r="L6" s="5"/>
      <c r="M6" s="5"/>
    </row>
    <row r="7" spans="1:13" ht="21">
      <c r="A7" s="10"/>
      <c r="B7" s="10"/>
      <c r="C7" s="65" t="s">
        <v>19</v>
      </c>
      <c r="D7" s="35">
        <v>50000</v>
      </c>
      <c r="E7" s="35">
        <v>150000</v>
      </c>
      <c r="F7" s="35">
        <v>20000</v>
      </c>
      <c r="G7" s="35">
        <v>100000</v>
      </c>
      <c r="H7" s="35">
        <v>20000</v>
      </c>
      <c r="I7" s="35">
        <v>30000</v>
      </c>
      <c r="J7" s="35">
        <v>100000</v>
      </c>
      <c r="K7" s="5"/>
      <c r="L7" s="5"/>
      <c r="M7" s="5"/>
    </row>
    <row r="8" spans="1:13" ht="21">
      <c r="A8" s="10"/>
      <c r="B8" s="10"/>
      <c r="C8" s="65" t="s">
        <v>20</v>
      </c>
      <c r="D8" s="35">
        <v>50000</v>
      </c>
      <c r="E8" s="35">
        <f t="shared" ref="E8:J8" si="0">E7*E6</f>
        <v>750000</v>
      </c>
      <c r="F8" s="35">
        <f t="shared" si="0"/>
        <v>20000</v>
      </c>
      <c r="G8" s="35">
        <f t="shared" si="0"/>
        <v>100000</v>
      </c>
      <c r="H8" s="35">
        <f t="shared" si="0"/>
        <v>20000</v>
      </c>
      <c r="I8" s="35">
        <f t="shared" si="0"/>
        <v>30000</v>
      </c>
      <c r="J8" s="35">
        <f t="shared" si="0"/>
        <v>100000</v>
      </c>
      <c r="K8" s="5"/>
      <c r="L8" s="5"/>
      <c r="M8" s="5"/>
    </row>
    <row r="9" spans="1:13" ht="21">
      <c r="A9" s="10"/>
      <c r="B9" s="10"/>
      <c r="C9" s="12"/>
      <c r="D9" s="11"/>
      <c r="E9" s="11"/>
      <c r="F9" s="11"/>
      <c r="G9" s="11"/>
      <c r="H9" s="11"/>
      <c r="I9" s="11"/>
      <c r="J9" s="11"/>
      <c r="K9" s="5"/>
      <c r="L9" s="5"/>
      <c r="M9" s="5"/>
    </row>
    <row r="10" spans="1:13" ht="27" thickBot="1">
      <c r="A10" s="13"/>
      <c r="B10" s="13"/>
      <c r="C10" s="71" t="s">
        <v>21</v>
      </c>
      <c r="D10" s="73">
        <f>SUM(D8:J8)</f>
        <v>1070000</v>
      </c>
      <c r="E10" s="14"/>
      <c r="F10" s="14"/>
      <c r="G10" s="14"/>
      <c r="H10" s="14"/>
      <c r="I10" s="14"/>
      <c r="J10" s="14"/>
      <c r="K10" s="6"/>
      <c r="L10" s="6"/>
      <c r="M10" s="6"/>
    </row>
    <row r="11" spans="1:13" ht="22" thickTop="1">
      <c r="A11" s="1"/>
      <c r="B11" s="1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ht="21">
      <c r="A12" s="1"/>
      <c r="B12" s="1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33">
      <c r="A13" s="106" t="s">
        <v>1</v>
      </c>
      <c r="B13" s="106"/>
      <c r="C13" s="36"/>
      <c r="D13" s="64" t="s">
        <v>43</v>
      </c>
      <c r="E13" s="64" t="s">
        <v>24</v>
      </c>
      <c r="F13" s="64" t="s">
        <v>25</v>
      </c>
      <c r="G13" s="15"/>
      <c r="H13" s="15"/>
      <c r="I13" s="15"/>
      <c r="J13" s="15"/>
      <c r="K13" s="15"/>
      <c r="L13" s="15"/>
      <c r="M13" s="15"/>
    </row>
    <row r="14" spans="1:13" ht="21">
      <c r="A14" s="16"/>
      <c r="B14" s="16"/>
      <c r="C14" s="64" t="s">
        <v>22</v>
      </c>
      <c r="D14" s="37">
        <v>300</v>
      </c>
      <c r="E14" s="37">
        <v>50</v>
      </c>
      <c r="F14" s="37">
        <v>250</v>
      </c>
      <c r="G14" s="15"/>
      <c r="H14" s="15"/>
      <c r="I14" s="15"/>
      <c r="J14" s="15"/>
      <c r="K14" s="15"/>
      <c r="L14" s="15"/>
      <c r="M14" s="15"/>
    </row>
    <row r="15" spans="1:13" ht="21">
      <c r="A15" s="16"/>
      <c r="B15" s="16"/>
      <c r="C15" s="50"/>
      <c r="D15" s="15"/>
      <c r="E15" s="15"/>
      <c r="F15" s="15"/>
      <c r="G15" s="15"/>
      <c r="H15" s="15"/>
      <c r="I15" s="15"/>
      <c r="J15" s="15"/>
      <c r="K15" s="15"/>
      <c r="L15" s="15"/>
      <c r="M15" s="15"/>
    </row>
    <row r="16" spans="1:13" ht="21">
      <c r="A16" s="16"/>
      <c r="B16" s="16"/>
      <c r="C16" s="64" t="s">
        <v>19</v>
      </c>
      <c r="D16" s="37">
        <v>20</v>
      </c>
      <c r="E16" s="15"/>
      <c r="F16" s="15"/>
      <c r="G16" s="15"/>
      <c r="H16" s="15"/>
      <c r="I16" s="15"/>
      <c r="J16" s="15"/>
      <c r="K16" s="15"/>
      <c r="L16" s="15"/>
      <c r="M16" s="15"/>
    </row>
    <row r="17" spans="1:13" ht="21">
      <c r="A17" s="16"/>
      <c r="B17" s="16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spans="1:13" ht="26">
      <c r="A18" s="16"/>
      <c r="B18" s="16"/>
      <c r="C18" s="63" t="s">
        <v>23</v>
      </c>
      <c r="D18" s="72">
        <f>D14*D16*300</f>
        <v>1800000</v>
      </c>
      <c r="E18" s="15"/>
      <c r="F18" s="15"/>
      <c r="G18" s="15"/>
      <c r="H18" s="15"/>
      <c r="I18" s="15"/>
      <c r="J18" s="15"/>
      <c r="K18" s="15"/>
      <c r="L18" s="15"/>
      <c r="M18" s="15"/>
    </row>
    <row r="19" spans="1:13" ht="21">
      <c r="A19" s="16"/>
      <c r="B19" s="16"/>
      <c r="C19" s="17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1:13" ht="21">
      <c r="A20" s="16"/>
      <c r="B20" s="16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1:13" ht="21" customHeight="1">
      <c r="A21" s="16"/>
      <c r="B21" s="16"/>
      <c r="C21" s="38"/>
      <c r="D21" s="103" t="s">
        <v>14</v>
      </c>
      <c r="E21" s="103"/>
      <c r="F21" s="104" t="s">
        <v>29</v>
      </c>
      <c r="G21" s="104"/>
      <c r="H21" s="104"/>
      <c r="I21" s="104"/>
      <c r="J21" s="104"/>
      <c r="K21" s="105" t="s">
        <v>15</v>
      </c>
      <c r="L21" s="105"/>
      <c r="M21" s="105"/>
    </row>
    <row r="22" spans="1:13" ht="20">
      <c r="A22" s="16"/>
      <c r="B22" s="16"/>
      <c r="C22" s="64" t="s">
        <v>26</v>
      </c>
      <c r="D22" s="39">
        <v>1</v>
      </c>
      <c r="E22" s="39">
        <v>2</v>
      </c>
      <c r="F22" s="40">
        <v>3</v>
      </c>
      <c r="G22" s="40">
        <v>4</v>
      </c>
      <c r="H22" s="40">
        <v>5</v>
      </c>
      <c r="I22" s="40">
        <v>6</v>
      </c>
      <c r="J22" s="40">
        <v>7</v>
      </c>
      <c r="K22" s="41">
        <v>8</v>
      </c>
      <c r="L22" s="41">
        <v>9</v>
      </c>
      <c r="M22" s="41">
        <v>10</v>
      </c>
    </row>
    <row r="23" spans="1:13" ht="20">
      <c r="A23" s="18"/>
      <c r="B23" s="18"/>
      <c r="C23" s="64" t="s">
        <v>27</v>
      </c>
      <c r="D23" s="42">
        <f>D18</f>
        <v>1800000</v>
      </c>
      <c r="E23" s="42">
        <f>D23*(1+10%)</f>
        <v>1980000.0000000002</v>
      </c>
      <c r="F23" s="43">
        <f>E23</f>
        <v>1980000.0000000002</v>
      </c>
      <c r="G23" s="43">
        <f t="shared" ref="G23:J23" si="1">F23</f>
        <v>1980000.0000000002</v>
      </c>
      <c r="H23" s="43">
        <f t="shared" si="1"/>
        <v>1980000.0000000002</v>
      </c>
      <c r="I23" s="43">
        <f t="shared" si="1"/>
        <v>1980000.0000000002</v>
      </c>
      <c r="J23" s="43">
        <f t="shared" si="1"/>
        <v>1980000.0000000002</v>
      </c>
      <c r="K23" s="44">
        <f>J23*(1-20%)</f>
        <v>1584000.0000000002</v>
      </c>
      <c r="L23" s="44">
        <f>K23*(1-20%)</f>
        <v>1267200.0000000002</v>
      </c>
      <c r="M23" s="44">
        <f>L23*(1-20%)</f>
        <v>1013760.0000000002</v>
      </c>
    </row>
    <row r="24" spans="1:13" ht="21">
      <c r="A24" s="16"/>
      <c r="B24" s="16"/>
      <c r="C24" s="50"/>
      <c r="D24" s="51"/>
      <c r="E24" s="51"/>
      <c r="F24" s="51"/>
      <c r="G24" s="51"/>
      <c r="H24" s="51"/>
      <c r="I24" s="51"/>
      <c r="J24" s="51"/>
      <c r="K24" s="51"/>
      <c r="L24" s="51"/>
      <c r="M24" s="51"/>
    </row>
    <row r="25" spans="1:13" ht="20">
      <c r="A25" s="16"/>
      <c r="B25" s="16"/>
      <c r="C25" s="66" t="s">
        <v>28</v>
      </c>
      <c r="D25" s="59">
        <f>D23/20</f>
        <v>90000</v>
      </c>
      <c r="E25" s="59">
        <f>E23/$D$16</f>
        <v>99000.000000000015</v>
      </c>
      <c r="F25" s="59">
        <f t="shared" ref="F25:M25" si="2">F23/$D$16</f>
        <v>99000.000000000015</v>
      </c>
      <c r="G25" s="59">
        <f t="shared" si="2"/>
        <v>99000.000000000015</v>
      </c>
      <c r="H25" s="59">
        <f t="shared" si="2"/>
        <v>99000.000000000015</v>
      </c>
      <c r="I25" s="59">
        <f t="shared" si="2"/>
        <v>99000.000000000015</v>
      </c>
      <c r="J25" s="59">
        <f t="shared" si="2"/>
        <v>99000.000000000015</v>
      </c>
      <c r="K25" s="59">
        <f t="shared" si="2"/>
        <v>79200.000000000015</v>
      </c>
      <c r="L25" s="59">
        <f t="shared" si="2"/>
        <v>63360.000000000015</v>
      </c>
      <c r="M25" s="60">
        <f t="shared" si="2"/>
        <v>50688.000000000015</v>
      </c>
    </row>
    <row r="26" spans="1:13" ht="21">
      <c r="A26" s="1"/>
      <c r="B26" s="1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 ht="33">
      <c r="A27" s="107" t="s">
        <v>2</v>
      </c>
      <c r="B27" s="107"/>
      <c r="C27" s="19"/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r="28" spans="1:13" ht="18">
      <c r="A28" s="20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spans="1:13" ht="27" thickBot="1">
      <c r="A29" s="20"/>
      <c r="B29" s="20"/>
      <c r="C29" s="62" t="s">
        <v>30</v>
      </c>
      <c r="D29" s="22"/>
      <c r="E29" s="67" t="s">
        <v>31</v>
      </c>
      <c r="F29" s="67" t="s">
        <v>10</v>
      </c>
      <c r="G29" s="67" t="s">
        <v>11</v>
      </c>
      <c r="H29" s="67" t="s">
        <v>12</v>
      </c>
      <c r="I29" s="67" t="s">
        <v>13</v>
      </c>
      <c r="J29" s="23"/>
      <c r="K29" s="23"/>
      <c r="L29" s="23"/>
      <c r="M29" s="23"/>
    </row>
    <row r="30" spans="1:13" ht="21">
      <c r="A30" s="20"/>
      <c r="B30" s="20"/>
      <c r="C30" s="23"/>
      <c r="D30" s="24"/>
      <c r="E30" s="49">
        <v>88888</v>
      </c>
      <c r="F30" s="49">
        <f>4*5000*12</f>
        <v>240000</v>
      </c>
      <c r="G30" s="49">
        <v>300000</v>
      </c>
      <c r="H30" s="49">
        <v>30000</v>
      </c>
      <c r="I30" s="49">
        <v>10000</v>
      </c>
      <c r="J30" s="24"/>
      <c r="K30" s="24"/>
      <c r="L30" s="24"/>
      <c r="M30" s="24"/>
    </row>
    <row r="31" spans="1:13" ht="22" thickBot="1">
      <c r="A31" s="20"/>
      <c r="B31" s="20"/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</row>
    <row r="32" spans="1:13" ht="27" thickBot="1">
      <c r="A32" s="20"/>
      <c r="B32" s="20"/>
      <c r="C32" s="75" t="s">
        <v>32</v>
      </c>
      <c r="D32" s="74">
        <f>SUM(E30:I30)</f>
        <v>668888</v>
      </c>
      <c r="E32" s="24"/>
      <c r="F32" s="24"/>
      <c r="G32" s="24"/>
      <c r="H32" s="24"/>
      <c r="I32" s="24"/>
      <c r="J32" s="24"/>
      <c r="K32" s="24"/>
      <c r="L32" s="24"/>
      <c r="M32" s="24"/>
    </row>
    <row r="33" spans="1:13" ht="20">
      <c r="A33" s="20"/>
      <c r="B33" s="20"/>
      <c r="C33" s="25"/>
      <c r="D33" s="24"/>
      <c r="E33" s="24"/>
      <c r="F33" s="24"/>
      <c r="G33" s="24"/>
      <c r="H33" s="24"/>
      <c r="I33" s="24"/>
      <c r="J33" s="24"/>
      <c r="K33" s="24"/>
      <c r="L33" s="24"/>
      <c r="M33" s="24"/>
    </row>
    <row r="34" spans="1:13" ht="20">
      <c r="A34" s="20"/>
      <c r="B34" s="20"/>
      <c r="C34" s="67" t="s">
        <v>26</v>
      </c>
      <c r="D34" s="45">
        <v>1</v>
      </c>
      <c r="E34" s="45">
        <v>2</v>
      </c>
      <c r="F34" s="46">
        <v>3</v>
      </c>
      <c r="G34" s="46">
        <v>4</v>
      </c>
      <c r="H34" s="46">
        <v>5</v>
      </c>
      <c r="I34" s="46">
        <v>6</v>
      </c>
      <c r="J34" s="46">
        <v>7</v>
      </c>
      <c r="K34" s="47">
        <v>8</v>
      </c>
      <c r="L34" s="47">
        <v>9</v>
      </c>
      <c r="M34" s="47">
        <v>10</v>
      </c>
    </row>
    <row r="35" spans="1:13" ht="20">
      <c r="A35" s="20"/>
      <c r="B35" s="20"/>
      <c r="C35" s="68" t="s">
        <v>30</v>
      </c>
      <c r="D35" s="39">
        <f>D32</f>
        <v>668888</v>
      </c>
      <c r="E35" s="39">
        <f>D35*1.01</f>
        <v>675576.88</v>
      </c>
      <c r="F35" s="48">
        <f t="shared" ref="F35:M35" si="3">E35*1.01</f>
        <v>682332.64879999997</v>
      </c>
      <c r="G35" s="48">
        <f t="shared" si="3"/>
        <v>689155.97528799996</v>
      </c>
      <c r="H35" s="48">
        <f t="shared" si="3"/>
        <v>696047.53504087997</v>
      </c>
      <c r="I35" s="48">
        <f t="shared" si="3"/>
        <v>703008.01039128879</v>
      </c>
      <c r="J35" s="48">
        <f t="shared" si="3"/>
        <v>710038.09049520164</v>
      </c>
      <c r="K35" s="41">
        <f t="shared" si="3"/>
        <v>717138.47140015371</v>
      </c>
      <c r="L35" s="41">
        <f t="shared" si="3"/>
        <v>724309.85611415526</v>
      </c>
      <c r="M35" s="41">
        <f t="shared" si="3"/>
        <v>731552.95467529679</v>
      </c>
    </row>
    <row r="36" spans="1:13" ht="21">
      <c r="A36" s="20"/>
      <c r="B36" s="20"/>
      <c r="C36" s="25"/>
      <c r="D36" s="23"/>
      <c r="E36" s="23"/>
      <c r="F36" s="23"/>
      <c r="G36" s="23"/>
      <c r="H36" s="23"/>
      <c r="I36" s="23"/>
      <c r="J36" s="23"/>
      <c r="K36" s="23"/>
      <c r="L36" s="23"/>
      <c r="M36" s="23"/>
    </row>
    <row r="37" spans="1:13" ht="21">
      <c r="A37" s="20"/>
      <c r="B37" s="20"/>
      <c r="C37" s="25"/>
      <c r="D37" s="23"/>
      <c r="E37" s="23"/>
      <c r="F37" s="23"/>
      <c r="G37" s="23"/>
      <c r="H37" s="23"/>
      <c r="I37" s="23"/>
      <c r="J37" s="23"/>
      <c r="K37" s="23"/>
      <c r="L37" s="23"/>
      <c r="M37" s="23"/>
    </row>
    <row r="38" spans="1:13" ht="21">
      <c r="A38" s="20"/>
      <c r="B38" s="20"/>
      <c r="C38" s="25"/>
      <c r="D38" s="23"/>
      <c r="E38" s="23"/>
      <c r="F38" s="23"/>
      <c r="G38" s="23"/>
      <c r="H38" s="23"/>
      <c r="I38" s="23"/>
      <c r="J38" s="23"/>
      <c r="K38" s="23"/>
      <c r="L38" s="23"/>
      <c r="M38" s="23"/>
    </row>
    <row r="39" spans="1:13" ht="21">
      <c r="A39" s="20"/>
      <c r="B39" s="20"/>
      <c r="C39" s="26"/>
      <c r="D39" s="23"/>
      <c r="E39" s="23"/>
      <c r="F39" s="23"/>
      <c r="G39" s="23"/>
      <c r="H39" s="23"/>
      <c r="I39" s="23"/>
      <c r="J39" s="23"/>
      <c r="K39" s="23"/>
      <c r="L39" s="23"/>
      <c r="M39" s="23"/>
    </row>
    <row r="40" spans="1:13" ht="27" thickBot="1">
      <c r="A40" s="20"/>
      <c r="B40" s="20"/>
      <c r="C40" s="62" t="s">
        <v>33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spans="1:13" ht="21">
      <c r="A41" s="20"/>
      <c r="B41" s="20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</row>
    <row r="42" spans="1:13" ht="27" thickBot="1">
      <c r="A42" s="20"/>
      <c r="B42" s="20"/>
      <c r="C42" s="22"/>
      <c r="D42" s="61" t="s">
        <v>37</v>
      </c>
      <c r="E42" s="62">
        <v>5</v>
      </c>
      <c r="F42" s="23"/>
      <c r="G42" s="23"/>
      <c r="H42" s="23"/>
      <c r="I42" s="23"/>
      <c r="J42" s="23"/>
      <c r="K42" s="23"/>
      <c r="L42" s="23"/>
      <c r="M42" s="23"/>
    </row>
    <row r="43" spans="1:13" ht="21">
      <c r="A43" s="20"/>
      <c r="B43" s="20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23"/>
    </row>
    <row r="44" spans="1:13" ht="20">
      <c r="A44" s="20"/>
      <c r="B44" s="20"/>
      <c r="C44" s="67" t="s">
        <v>26</v>
      </c>
      <c r="D44" s="45">
        <v>1</v>
      </c>
      <c r="E44" s="45">
        <v>2</v>
      </c>
      <c r="F44" s="46">
        <v>3</v>
      </c>
      <c r="G44" s="46">
        <v>4</v>
      </c>
      <c r="H44" s="46">
        <v>5</v>
      </c>
      <c r="I44" s="46">
        <v>6</v>
      </c>
      <c r="J44" s="46">
        <v>7</v>
      </c>
      <c r="K44" s="47">
        <v>8</v>
      </c>
      <c r="L44" s="47">
        <v>9</v>
      </c>
      <c r="M44" s="47">
        <v>10</v>
      </c>
    </row>
    <row r="45" spans="1:13" ht="20">
      <c r="A45" s="20"/>
      <c r="B45" s="20"/>
      <c r="C45" s="67" t="s">
        <v>34</v>
      </c>
      <c r="D45" s="39">
        <f>D25</f>
        <v>90000</v>
      </c>
      <c r="E45" s="39">
        <f t="shared" ref="E45:M45" si="4">E25</f>
        <v>99000.000000000015</v>
      </c>
      <c r="F45" s="48">
        <f t="shared" si="4"/>
        <v>99000.000000000015</v>
      </c>
      <c r="G45" s="48">
        <f t="shared" si="4"/>
        <v>99000.000000000015</v>
      </c>
      <c r="H45" s="48">
        <f t="shared" si="4"/>
        <v>99000.000000000015</v>
      </c>
      <c r="I45" s="48">
        <f t="shared" si="4"/>
        <v>99000.000000000015</v>
      </c>
      <c r="J45" s="48">
        <f t="shared" si="4"/>
        <v>99000.000000000015</v>
      </c>
      <c r="K45" s="41">
        <f t="shared" si="4"/>
        <v>79200.000000000015</v>
      </c>
      <c r="L45" s="41">
        <f t="shared" si="4"/>
        <v>63360.000000000015</v>
      </c>
      <c r="M45" s="41">
        <f t="shared" si="4"/>
        <v>50688.000000000015</v>
      </c>
    </row>
    <row r="46" spans="1:13" ht="20">
      <c r="A46" s="20"/>
      <c r="B46" s="20"/>
      <c r="C46" s="68" t="s">
        <v>35</v>
      </c>
      <c r="D46" s="39">
        <f>D45*$E42</f>
        <v>450000</v>
      </c>
      <c r="E46" s="39">
        <f t="shared" ref="E46:M46" si="5">E45*$E42</f>
        <v>495000.00000000006</v>
      </c>
      <c r="F46" s="40">
        <f t="shared" si="5"/>
        <v>495000.00000000006</v>
      </c>
      <c r="G46" s="40">
        <f t="shared" si="5"/>
        <v>495000.00000000006</v>
      </c>
      <c r="H46" s="40">
        <f t="shared" si="5"/>
        <v>495000.00000000006</v>
      </c>
      <c r="I46" s="40">
        <f t="shared" si="5"/>
        <v>495000.00000000006</v>
      </c>
      <c r="J46" s="40">
        <f t="shared" si="5"/>
        <v>495000.00000000006</v>
      </c>
      <c r="K46" s="41">
        <f t="shared" si="5"/>
        <v>396000.00000000006</v>
      </c>
      <c r="L46" s="41">
        <f t="shared" si="5"/>
        <v>316800.00000000006</v>
      </c>
      <c r="M46" s="41">
        <f t="shared" si="5"/>
        <v>253440.00000000006</v>
      </c>
    </row>
    <row r="47" spans="1:13" ht="20">
      <c r="A47" s="20"/>
      <c r="B47" s="20"/>
      <c r="C47" s="25"/>
      <c r="D47" s="24"/>
      <c r="E47" s="24"/>
      <c r="F47" s="24"/>
      <c r="G47" s="24"/>
      <c r="H47" s="24"/>
      <c r="I47" s="24"/>
      <c r="J47" s="24"/>
      <c r="K47" s="24"/>
      <c r="L47" s="24"/>
      <c r="M47" s="24"/>
    </row>
    <row r="48" spans="1:13" ht="20">
      <c r="A48" s="20"/>
      <c r="B48" s="20"/>
      <c r="C48" s="25"/>
      <c r="D48" s="24"/>
      <c r="E48" s="24"/>
      <c r="F48" s="24"/>
      <c r="G48" s="24"/>
      <c r="H48" s="24"/>
      <c r="I48" s="24"/>
      <c r="J48" s="24"/>
      <c r="K48" s="24"/>
      <c r="L48" s="24"/>
      <c r="M48" s="24"/>
    </row>
    <row r="49" spans="1:13" ht="20">
      <c r="A49" s="20"/>
      <c r="B49" s="20"/>
      <c r="C49" s="25"/>
      <c r="D49" s="24"/>
      <c r="E49" s="24"/>
      <c r="F49" s="24"/>
      <c r="G49" s="24"/>
      <c r="H49" s="24"/>
      <c r="I49" s="24"/>
      <c r="J49" s="24"/>
      <c r="K49" s="24"/>
      <c r="L49" s="24"/>
      <c r="M49" s="24"/>
    </row>
    <row r="50" spans="1:13" ht="24">
      <c r="A50" s="27"/>
      <c r="B50" s="27"/>
      <c r="C50" s="69" t="s">
        <v>36</v>
      </c>
      <c r="D50" s="57">
        <f>D46+D35</f>
        <v>1118888</v>
      </c>
      <c r="E50" s="57">
        <f t="shared" ref="E50:M50" si="6">E46+E35</f>
        <v>1170576.8800000001</v>
      </c>
      <c r="F50" s="57">
        <f t="shared" si="6"/>
        <v>1177332.6488000001</v>
      </c>
      <c r="G50" s="57">
        <f t="shared" si="6"/>
        <v>1184155.975288</v>
      </c>
      <c r="H50" s="57">
        <f t="shared" si="6"/>
        <v>1191047.5350408801</v>
      </c>
      <c r="I50" s="57">
        <f t="shared" si="6"/>
        <v>1198008.0103912889</v>
      </c>
      <c r="J50" s="57">
        <f t="shared" si="6"/>
        <v>1205038.0904952018</v>
      </c>
      <c r="K50" s="57">
        <f t="shared" si="6"/>
        <v>1113138.4714001538</v>
      </c>
      <c r="L50" s="57">
        <f t="shared" si="6"/>
        <v>1041109.8561141554</v>
      </c>
      <c r="M50" s="58">
        <f t="shared" si="6"/>
        <v>984992.95467529679</v>
      </c>
    </row>
    <row r="51" spans="1:13" ht="18">
      <c r="A51" s="1"/>
      <c r="B51" s="1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33">
      <c r="A52" s="109" t="s">
        <v>3</v>
      </c>
      <c r="B52" s="109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</row>
    <row r="53" spans="1:13" ht="18">
      <c r="A53" s="29"/>
      <c r="B53" s="29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</row>
    <row r="54" spans="1:13" ht="20">
      <c r="A54" s="29"/>
      <c r="B54" s="70" t="s">
        <v>26</v>
      </c>
      <c r="C54" s="52">
        <v>0</v>
      </c>
      <c r="D54" s="52">
        <v>1</v>
      </c>
      <c r="E54" s="52">
        <v>2</v>
      </c>
      <c r="F54" s="52">
        <v>3</v>
      </c>
      <c r="G54" s="52">
        <v>4</v>
      </c>
      <c r="H54" s="52">
        <v>5</v>
      </c>
      <c r="I54" s="52">
        <v>6</v>
      </c>
      <c r="J54" s="52">
        <v>7</v>
      </c>
      <c r="K54" s="52">
        <v>8</v>
      </c>
      <c r="L54" s="52">
        <v>9</v>
      </c>
      <c r="M54" s="52">
        <v>10</v>
      </c>
    </row>
    <row r="55" spans="1:13" ht="20">
      <c r="A55" s="29"/>
      <c r="B55" s="70" t="s">
        <v>21</v>
      </c>
      <c r="C55" s="53">
        <f>D10</f>
        <v>1070000</v>
      </c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spans="1:13" ht="20">
      <c r="A56" s="29"/>
      <c r="B56" s="70" t="s">
        <v>38</v>
      </c>
      <c r="C56" s="53"/>
      <c r="D56" s="53">
        <f t="shared" ref="D56:M56" si="7">D23</f>
        <v>1800000</v>
      </c>
      <c r="E56" s="53">
        <f t="shared" si="7"/>
        <v>1980000.0000000002</v>
      </c>
      <c r="F56" s="53">
        <f t="shared" si="7"/>
        <v>1980000.0000000002</v>
      </c>
      <c r="G56" s="53">
        <f t="shared" si="7"/>
        <v>1980000.0000000002</v>
      </c>
      <c r="H56" s="53">
        <f t="shared" si="7"/>
        <v>1980000.0000000002</v>
      </c>
      <c r="I56" s="53">
        <f t="shared" si="7"/>
        <v>1980000.0000000002</v>
      </c>
      <c r="J56" s="53">
        <f t="shared" si="7"/>
        <v>1980000.0000000002</v>
      </c>
      <c r="K56" s="53">
        <f t="shared" si="7"/>
        <v>1584000.0000000002</v>
      </c>
      <c r="L56" s="53">
        <f t="shared" si="7"/>
        <v>1267200.0000000002</v>
      </c>
      <c r="M56" s="53">
        <f t="shared" si="7"/>
        <v>1013760.0000000002</v>
      </c>
    </row>
    <row r="57" spans="1:13" ht="20">
      <c r="A57" s="29"/>
      <c r="B57" s="70" t="s">
        <v>39</v>
      </c>
      <c r="C57" s="53"/>
      <c r="D57" s="53">
        <f t="shared" ref="D57:M57" si="8">D50</f>
        <v>1118888</v>
      </c>
      <c r="E57" s="53">
        <f t="shared" si="8"/>
        <v>1170576.8800000001</v>
      </c>
      <c r="F57" s="53">
        <f t="shared" si="8"/>
        <v>1177332.6488000001</v>
      </c>
      <c r="G57" s="53">
        <f t="shared" si="8"/>
        <v>1184155.975288</v>
      </c>
      <c r="H57" s="53">
        <f t="shared" si="8"/>
        <v>1191047.5350408801</v>
      </c>
      <c r="I57" s="53">
        <f t="shared" si="8"/>
        <v>1198008.0103912889</v>
      </c>
      <c r="J57" s="53">
        <f t="shared" si="8"/>
        <v>1205038.0904952018</v>
      </c>
      <c r="K57" s="53">
        <f t="shared" si="8"/>
        <v>1113138.4714001538</v>
      </c>
      <c r="L57" s="53">
        <f t="shared" si="8"/>
        <v>1041109.8561141554</v>
      </c>
      <c r="M57" s="53">
        <f t="shared" si="8"/>
        <v>984992.95467529679</v>
      </c>
    </row>
    <row r="58" spans="1:13" ht="21">
      <c r="A58" s="29"/>
      <c r="B58" s="31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</row>
    <row r="59" spans="1:13" ht="20">
      <c r="A59" s="32"/>
      <c r="B59" s="56" t="s">
        <v>40</v>
      </c>
      <c r="C59" s="53">
        <f>C56-C55-C57</f>
        <v>-1070000</v>
      </c>
      <c r="D59" s="53">
        <f>D56-D55-D57</f>
        <v>681112</v>
      </c>
      <c r="E59" s="53">
        <f t="shared" ref="E59:M59" si="9">E56-E55-E57</f>
        <v>809423.12000000011</v>
      </c>
      <c r="F59" s="53">
        <f t="shared" si="9"/>
        <v>802667.35120000015</v>
      </c>
      <c r="G59" s="53">
        <f t="shared" si="9"/>
        <v>795844.02471200028</v>
      </c>
      <c r="H59" s="53">
        <f t="shared" si="9"/>
        <v>788952.46495912015</v>
      </c>
      <c r="I59" s="53">
        <f t="shared" si="9"/>
        <v>781991.98960871133</v>
      </c>
      <c r="J59" s="53">
        <f t="shared" si="9"/>
        <v>774961.90950479847</v>
      </c>
      <c r="K59" s="53">
        <f t="shared" si="9"/>
        <v>470861.52859984641</v>
      </c>
      <c r="L59" s="53">
        <f t="shared" si="9"/>
        <v>226090.14388584485</v>
      </c>
      <c r="M59" s="53">
        <f t="shared" si="9"/>
        <v>28767.045324703446</v>
      </c>
    </row>
    <row r="60" spans="1:13" ht="20">
      <c r="A60" s="32"/>
      <c r="B60" s="56" t="s">
        <v>41</v>
      </c>
      <c r="C60" s="53">
        <f>C59</f>
        <v>-1070000</v>
      </c>
      <c r="D60" s="53">
        <f>C59+NPV(20%,D59)</f>
        <v>-502406.66666666663</v>
      </c>
      <c r="E60" s="53">
        <f>$C59+NPV(20%,$D59:E59)</f>
        <v>59692.722222222481</v>
      </c>
      <c r="F60" s="53">
        <f>$C59+NPV(20%,$D59:F59)</f>
        <v>524199.29120370396</v>
      </c>
      <c r="G60" s="53">
        <f>$C59+NPV(20%,$D59:G59)</f>
        <v>907997.52842978435</v>
      </c>
      <c r="H60" s="53">
        <f>$C59+NPV(20%,$D59:H59)</f>
        <v>1225059.8294839575</v>
      </c>
      <c r="I60" s="53">
        <f>$C59+NPV(20%,$D59:I59)</f>
        <v>1486947.3645841829</v>
      </c>
      <c r="J60" s="53">
        <f>$C59+NPV(20%,$D59:J59)</f>
        <v>1703225.0108321193</v>
      </c>
      <c r="K60" s="53">
        <f>$C59+NPV(20%,$D59:K59)</f>
        <v>1812732.3533492871</v>
      </c>
      <c r="L60" s="53">
        <f>$C59+NPV(20%,$D59:L59)</f>
        <v>1856550.1379180062</v>
      </c>
      <c r="M60" s="53">
        <f>$C59+NPV(20%,$D59:M59)</f>
        <v>1861196.1763411909</v>
      </c>
    </row>
    <row r="61" spans="1:13" ht="22" thickBot="1">
      <c r="A61" s="1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24">
      <c r="A62" s="1"/>
      <c r="B62" s="54" t="s">
        <v>41</v>
      </c>
      <c r="C62" s="101">
        <f>C59+NPV(20%,D59:M59)</f>
        <v>1861196.1763411909</v>
      </c>
      <c r="D62" s="2"/>
      <c r="E62" s="112" t="s">
        <v>51</v>
      </c>
      <c r="F62" s="113">
        <f>D54-D60/E59</f>
        <v>1.6206972030483469</v>
      </c>
      <c r="G62" s="2"/>
      <c r="H62" s="2"/>
      <c r="I62" s="2"/>
      <c r="J62" s="2"/>
      <c r="K62" s="2"/>
      <c r="L62" s="2"/>
      <c r="M62" s="2"/>
    </row>
    <row r="63" spans="1:13" ht="25" thickBot="1">
      <c r="A63" s="1"/>
      <c r="B63" s="55" t="s">
        <v>42</v>
      </c>
      <c r="C63" s="102">
        <f>IRR(C59:M59)</f>
        <v>0.68999742594568647</v>
      </c>
      <c r="D63" s="2"/>
      <c r="E63" s="112" t="s">
        <v>52</v>
      </c>
      <c r="F63" s="113">
        <f>PMT(20%,10,-C62)</f>
        <v>443937.64308073692</v>
      </c>
      <c r="G63" s="2"/>
      <c r="H63" s="2"/>
      <c r="I63" s="2"/>
      <c r="J63" s="2"/>
      <c r="K63" s="2"/>
      <c r="L63" s="2"/>
      <c r="M63" s="2"/>
    </row>
    <row r="64" spans="1:13" ht="18">
      <c r="A64" s="1"/>
      <c r="B64" s="1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8">
      <c r="A65" s="1"/>
      <c r="B65" s="1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8" customHeight="1">
      <c r="A66" s="111" t="s">
        <v>45</v>
      </c>
      <c r="B66" s="111"/>
      <c r="C66" s="76"/>
      <c r="D66" s="76"/>
      <c r="E66" s="76"/>
      <c r="F66" s="76"/>
      <c r="G66" s="76"/>
      <c r="H66" s="76"/>
      <c r="I66" s="76"/>
      <c r="J66" s="76"/>
      <c r="K66" s="76"/>
      <c r="L66" s="3"/>
      <c r="M66" s="3"/>
    </row>
    <row r="67" spans="1:13" ht="18" customHeight="1">
      <c r="A67" s="111"/>
      <c r="B67" s="111"/>
      <c r="C67" s="76"/>
      <c r="D67" s="76"/>
      <c r="E67" s="76"/>
      <c r="F67" s="76"/>
      <c r="G67" s="76"/>
      <c r="H67" s="76"/>
      <c r="I67" s="76"/>
      <c r="J67" s="76"/>
      <c r="K67" s="76"/>
      <c r="L67" s="3"/>
      <c r="M67" s="3"/>
    </row>
    <row r="68" spans="1:13" ht="18">
      <c r="A68" s="77"/>
      <c r="B68" s="77"/>
      <c r="C68" s="76"/>
      <c r="D68" s="76"/>
      <c r="E68" s="76"/>
      <c r="F68" s="76"/>
      <c r="G68" s="76"/>
      <c r="H68" s="76"/>
      <c r="I68" s="76"/>
      <c r="J68" s="76"/>
      <c r="K68" s="76"/>
      <c r="L68" s="3"/>
      <c r="M68" s="3"/>
    </row>
    <row r="69" spans="1:13" ht="26">
      <c r="A69" s="77"/>
      <c r="B69" s="78" t="s">
        <v>46</v>
      </c>
      <c r="C69" s="76"/>
      <c r="D69" s="76"/>
      <c r="E69" s="76"/>
      <c r="F69" s="76"/>
      <c r="G69" s="76"/>
      <c r="H69" s="76"/>
      <c r="I69" s="76"/>
      <c r="J69" s="76"/>
      <c r="K69" s="76"/>
      <c r="L69" s="3"/>
      <c r="M69" s="3"/>
    </row>
    <row r="70" spans="1:13" ht="18">
      <c r="A70" s="77"/>
      <c r="B70" s="79"/>
      <c r="C70" s="76"/>
      <c r="D70" s="76"/>
      <c r="E70" s="76"/>
      <c r="F70" s="76"/>
      <c r="G70" s="76"/>
      <c r="H70" s="76"/>
      <c r="I70" s="76"/>
      <c r="J70" s="76"/>
      <c r="K70" s="76"/>
      <c r="L70" s="3"/>
      <c r="M70" s="3"/>
    </row>
    <row r="71" spans="1:13" ht="18">
      <c r="A71" s="77"/>
      <c r="B71" s="79"/>
      <c r="C71" s="76"/>
      <c r="D71" s="76"/>
      <c r="E71" s="76"/>
      <c r="F71" s="76"/>
      <c r="G71" s="76"/>
      <c r="H71" s="76"/>
      <c r="I71" s="76"/>
      <c r="J71" s="76"/>
      <c r="K71" s="76"/>
      <c r="L71" s="3"/>
      <c r="M71" s="3"/>
    </row>
    <row r="72" spans="1:13" ht="20">
      <c r="A72" s="81"/>
      <c r="B72" s="80" t="s">
        <v>47</v>
      </c>
      <c r="C72" s="97">
        <v>-0.2</v>
      </c>
      <c r="D72" s="97">
        <v>-0.15</v>
      </c>
      <c r="E72" s="97">
        <v>-0.1</v>
      </c>
      <c r="F72" s="97">
        <v>-0.05</v>
      </c>
      <c r="G72" s="97">
        <v>0</v>
      </c>
      <c r="H72" s="97">
        <v>0.05</v>
      </c>
      <c r="I72" s="97">
        <v>0.1</v>
      </c>
      <c r="J72" s="97">
        <v>0.15</v>
      </c>
      <c r="K72" s="98">
        <v>0.2</v>
      </c>
      <c r="L72" s="3"/>
      <c r="M72" s="3"/>
    </row>
    <row r="73" spans="1:13" ht="18" customHeight="1">
      <c r="A73" s="108" t="s">
        <v>40</v>
      </c>
      <c r="B73" s="80">
        <v>0</v>
      </c>
      <c r="C73" s="76">
        <f>D73*(1+C72)</f>
        <v>-622098</v>
      </c>
      <c r="D73" s="76">
        <f>E73*(1+D72)</f>
        <v>-777622.5</v>
      </c>
      <c r="E73" s="76">
        <f>F73*(1+E72)</f>
        <v>-914850</v>
      </c>
      <c r="F73" s="76">
        <f>G73*(1+F72)</f>
        <v>-1016500</v>
      </c>
      <c r="G73" s="76">
        <f>-D10</f>
        <v>-1070000</v>
      </c>
      <c r="H73" s="76">
        <f>G73*(1+H72)</f>
        <v>-1123500</v>
      </c>
      <c r="I73" s="76">
        <f>H73*(1+I72)</f>
        <v>-1235850</v>
      </c>
      <c r="J73" s="76">
        <f>I73*(1+J72)</f>
        <v>-1421227.5</v>
      </c>
      <c r="K73" s="87">
        <f>J73*(1+K72)</f>
        <v>-1705473</v>
      </c>
      <c r="L73" s="3"/>
      <c r="M73" s="3"/>
    </row>
    <row r="74" spans="1:13" ht="20">
      <c r="A74" s="108"/>
      <c r="B74" s="80">
        <v>1</v>
      </c>
      <c r="C74" s="88">
        <v>681112</v>
      </c>
      <c r="D74" s="88">
        <v>681112</v>
      </c>
      <c r="E74" s="88">
        <v>681112</v>
      </c>
      <c r="F74" s="88">
        <v>681112</v>
      </c>
      <c r="G74" s="88">
        <v>681112</v>
      </c>
      <c r="H74" s="88">
        <v>681112</v>
      </c>
      <c r="I74" s="88">
        <v>681112</v>
      </c>
      <c r="J74" s="88">
        <v>681112</v>
      </c>
      <c r="K74" s="89">
        <v>681112</v>
      </c>
      <c r="L74" s="3"/>
      <c r="M74" s="3"/>
    </row>
    <row r="75" spans="1:13" ht="20">
      <c r="A75" s="108"/>
      <c r="B75" s="80">
        <v>2</v>
      </c>
      <c r="C75" s="88">
        <v>809423.12000000011</v>
      </c>
      <c r="D75" s="88">
        <v>809423.12000000011</v>
      </c>
      <c r="E75" s="88">
        <v>809423.12000000011</v>
      </c>
      <c r="F75" s="88">
        <v>809423.12000000011</v>
      </c>
      <c r="G75" s="88">
        <v>809423.12000000011</v>
      </c>
      <c r="H75" s="88">
        <v>809423.12000000011</v>
      </c>
      <c r="I75" s="88">
        <v>809423.12000000011</v>
      </c>
      <c r="J75" s="88">
        <v>809423.12000000011</v>
      </c>
      <c r="K75" s="89">
        <v>809423.12000000011</v>
      </c>
      <c r="L75" s="3"/>
      <c r="M75" s="3"/>
    </row>
    <row r="76" spans="1:13" ht="20">
      <c r="A76" s="108"/>
      <c r="B76" s="80">
        <v>3</v>
      </c>
      <c r="C76" s="88">
        <v>802667.35120000015</v>
      </c>
      <c r="D76" s="88">
        <v>802667.35120000015</v>
      </c>
      <c r="E76" s="88">
        <v>802667.35120000015</v>
      </c>
      <c r="F76" s="88">
        <v>802667.35120000015</v>
      </c>
      <c r="G76" s="88">
        <v>802667.35120000015</v>
      </c>
      <c r="H76" s="88">
        <v>802667.35120000015</v>
      </c>
      <c r="I76" s="88">
        <v>802667.35120000015</v>
      </c>
      <c r="J76" s="88">
        <v>802667.35120000015</v>
      </c>
      <c r="K76" s="89">
        <v>802667.35120000015</v>
      </c>
      <c r="L76" s="3"/>
      <c r="M76" s="3"/>
    </row>
    <row r="77" spans="1:13" ht="20">
      <c r="A77" s="108"/>
      <c r="B77" s="80">
        <v>4</v>
      </c>
      <c r="C77" s="88">
        <v>795844.02471200028</v>
      </c>
      <c r="D77" s="88">
        <v>795844.02471200028</v>
      </c>
      <c r="E77" s="88">
        <v>795844.02471200028</v>
      </c>
      <c r="F77" s="88">
        <v>795844.02471200028</v>
      </c>
      <c r="G77" s="88">
        <v>795844.02471200028</v>
      </c>
      <c r="H77" s="88">
        <v>795844.02471200028</v>
      </c>
      <c r="I77" s="88">
        <v>795844.02471200028</v>
      </c>
      <c r="J77" s="88">
        <v>795844.02471200028</v>
      </c>
      <c r="K77" s="89">
        <v>795844.02471200028</v>
      </c>
      <c r="L77" s="3"/>
      <c r="M77" s="3"/>
    </row>
    <row r="78" spans="1:13" ht="20">
      <c r="A78" s="108"/>
      <c r="B78" s="80">
        <v>5</v>
      </c>
      <c r="C78" s="88">
        <v>788952.46495912015</v>
      </c>
      <c r="D78" s="88">
        <v>788952.46495912015</v>
      </c>
      <c r="E78" s="88">
        <v>788952.46495912015</v>
      </c>
      <c r="F78" s="88">
        <v>788952.46495912015</v>
      </c>
      <c r="G78" s="88">
        <v>788952.46495912015</v>
      </c>
      <c r="H78" s="88">
        <v>788952.46495912015</v>
      </c>
      <c r="I78" s="88">
        <v>788952.46495912015</v>
      </c>
      <c r="J78" s="88">
        <v>788952.46495912015</v>
      </c>
      <c r="K78" s="89">
        <v>788952.46495912015</v>
      </c>
      <c r="L78" s="3"/>
      <c r="M78" s="3"/>
    </row>
    <row r="79" spans="1:13" ht="20">
      <c r="A79" s="108"/>
      <c r="B79" s="80">
        <v>6</v>
      </c>
      <c r="C79" s="88">
        <v>781991.98960871133</v>
      </c>
      <c r="D79" s="88">
        <v>781991.98960871133</v>
      </c>
      <c r="E79" s="88">
        <v>781991.98960871133</v>
      </c>
      <c r="F79" s="88">
        <v>781991.98960871133</v>
      </c>
      <c r="G79" s="88">
        <v>781991.98960871133</v>
      </c>
      <c r="H79" s="88">
        <v>781991.98960871133</v>
      </c>
      <c r="I79" s="88">
        <v>781991.98960871133</v>
      </c>
      <c r="J79" s="88">
        <v>781991.98960871133</v>
      </c>
      <c r="K79" s="89">
        <v>781991.98960871133</v>
      </c>
      <c r="L79" s="3"/>
      <c r="M79" s="3"/>
    </row>
    <row r="80" spans="1:13" ht="20">
      <c r="A80" s="108"/>
      <c r="B80" s="80">
        <v>7</v>
      </c>
      <c r="C80" s="88">
        <v>774961.90950479847</v>
      </c>
      <c r="D80" s="88">
        <v>774961.90950479847</v>
      </c>
      <c r="E80" s="88">
        <v>774961.90950479847</v>
      </c>
      <c r="F80" s="88">
        <v>774961.90950479847</v>
      </c>
      <c r="G80" s="88">
        <v>774961.90950479847</v>
      </c>
      <c r="H80" s="88">
        <v>774961.90950479847</v>
      </c>
      <c r="I80" s="88">
        <v>774961.90950479847</v>
      </c>
      <c r="J80" s="88">
        <v>774961.90950479847</v>
      </c>
      <c r="K80" s="89">
        <v>774961.90950479847</v>
      </c>
      <c r="L80" s="3"/>
      <c r="M80" s="3"/>
    </row>
    <row r="81" spans="1:13" ht="20">
      <c r="A81" s="108"/>
      <c r="B81" s="80">
        <v>8</v>
      </c>
      <c r="C81" s="88">
        <v>470861.52859984641</v>
      </c>
      <c r="D81" s="88">
        <v>470861.52859984641</v>
      </c>
      <c r="E81" s="88">
        <v>470861.52859984641</v>
      </c>
      <c r="F81" s="88">
        <v>470861.52859984641</v>
      </c>
      <c r="G81" s="88">
        <v>470861.52859984641</v>
      </c>
      <c r="H81" s="88">
        <v>470861.52859984641</v>
      </c>
      <c r="I81" s="88">
        <v>470861.52859984641</v>
      </c>
      <c r="J81" s="88">
        <v>470861.52859984641</v>
      </c>
      <c r="K81" s="89">
        <v>470861.52859984641</v>
      </c>
      <c r="L81" s="3"/>
      <c r="M81" s="3"/>
    </row>
    <row r="82" spans="1:13" ht="20">
      <c r="A82" s="108"/>
      <c r="B82" s="80">
        <v>9</v>
      </c>
      <c r="C82" s="88">
        <v>226090.14388584485</v>
      </c>
      <c r="D82" s="88">
        <v>226090.14388584485</v>
      </c>
      <c r="E82" s="88">
        <v>226090.14388584485</v>
      </c>
      <c r="F82" s="88">
        <v>226090.14388584485</v>
      </c>
      <c r="G82" s="88">
        <v>226090.14388584485</v>
      </c>
      <c r="H82" s="88">
        <v>226090.14388584485</v>
      </c>
      <c r="I82" s="88">
        <v>226090.14388584485</v>
      </c>
      <c r="J82" s="88">
        <v>226090.14388584485</v>
      </c>
      <c r="K82" s="89">
        <v>226090.14388584485</v>
      </c>
      <c r="L82" s="3"/>
      <c r="M82" s="3"/>
    </row>
    <row r="83" spans="1:13" ht="20">
      <c r="A83" s="108"/>
      <c r="B83" s="80">
        <v>10</v>
      </c>
      <c r="C83" s="88">
        <v>28767.045324703446</v>
      </c>
      <c r="D83" s="88">
        <v>28767.045324703446</v>
      </c>
      <c r="E83" s="88">
        <v>28767.045324703446</v>
      </c>
      <c r="F83" s="88">
        <v>28767.045324703446</v>
      </c>
      <c r="G83" s="88">
        <v>28767.045324703446</v>
      </c>
      <c r="H83" s="88">
        <v>28767.045324703446</v>
      </c>
      <c r="I83" s="88">
        <v>28767.045324703446</v>
      </c>
      <c r="J83" s="88">
        <v>28767.045324703446</v>
      </c>
      <c r="K83" s="89">
        <v>28767.045324703446</v>
      </c>
      <c r="L83" s="3"/>
      <c r="M83" s="3"/>
    </row>
    <row r="84" spans="1:13" ht="20">
      <c r="A84" s="99"/>
      <c r="B84" s="80" t="s">
        <v>41</v>
      </c>
      <c r="C84" s="88">
        <f t="shared" ref="C84:K84" si="10">-C73+NPV(20%,$D$59:$M$59)</f>
        <v>3553294.1763411909</v>
      </c>
      <c r="D84" s="88">
        <f t="shared" si="10"/>
        <v>3708818.6763411909</v>
      </c>
      <c r="E84" s="88">
        <f t="shared" si="10"/>
        <v>3846046.1763411909</v>
      </c>
      <c r="F84" s="88">
        <f t="shared" si="10"/>
        <v>3947696.1763411909</v>
      </c>
      <c r="G84" s="88">
        <f t="shared" si="10"/>
        <v>4001196.1763411909</v>
      </c>
      <c r="H84" s="88">
        <f t="shared" si="10"/>
        <v>4054696.1763411909</v>
      </c>
      <c r="I84" s="100">
        <f t="shared" si="10"/>
        <v>4167046.1763411909</v>
      </c>
      <c r="J84" s="88">
        <f t="shared" si="10"/>
        <v>4352423.6763411909</v>
      </c>
      <c r="K84" s="89">
        <f t="shared" si="10"/>
        <v>4636669.1763411909</v>
      </c>
      <c r="L84" s="3"/>
      <c r="M84" s="3"/>
    </row>
    <row r="85" spans="1:13" ht="20">
      <c r="A85" s="92"/>
      <c r="B85" s="80" t="s">
        <v>42</v>
      </c>
      <c r="C85" s="95">
        <f>IRR(C73:C83)</f>
        <v>1.1820868286013297</v>
      </c>
      <c r="D85" s="95">
        <f t="shared" ref="D85:E85" si="11">IRR(D73:D83)</f>
        <v>0.95012107112097088</v>
      </c>
      <c r="E85" s="95">
        <f t="shared" si="11"/>
        <v>0.80850572482875682</v>
      </c>
      <c r="F85" s="95">
        <f>IRR(F73:F83)</f>
        <v>0.72703486990725885</v>
      </c>
      <c r="G85" s="95">
        <f>IRR(G73:G83)</f>
        <v>0.68999742594568647</v>
      </c>
      <c r="H85" s="95">
        <f>IRR(H73:H83)</f>
        <v>0.65624986645453443</v>
      </c>
      <c r="I85" s="95">
        <f t="shared" ref="I85:K85" si="12">IRR(I73:I83)</f>
        <v>0.5942146332165974</v>
      </c>
      <c r="J85" s="95">
        <f t="shared" si="12"/>
        <v>0.51166003452467956</v>
      </c>
      <c r="K85" s="96">
        <f t="shared" si="12"/>
        <v>0.41693388204154358</v>
      </c>
      <c r="L85" s="3"/>
      <c r="M85" s="3"/>
    </row>
    <row r="86" spans="1:13" ht="18">
      <c r="A86" s="77"/>
      <c r="B86" s="77"/>
      <c r="C86" s="76"/>
      <c r="D86" s="76"/>
      <c r="E86" s="76"/>
      <c r="F86" s="76"/>
      <c r="G86" s="76"/>
      <c r="H86" s="76"/>
      <c r="I86" s="76"/>
      <c r="J86" s="76"/>
      <c r="K86" s="76"/>
      <c r="L86" s="3"/>
      <c r="M86" s="3"/>
    </row>
    <row r="87" spans="1:13" ht="26">
      <c r="A87" s="77"/>
      <c r="B87" s="78" t="s">
        <v>48</v>
      </c>
      <c r="C87" s="76"/>
      <c r="D87" s="76"/>
      <c r="E87" s="76"/>
      <c r="F87" s="76"/>
      <c r="G87" s="76"/>
      <c r="H87" s="76"/>
      <c r="I87" s="76"/>
      <c r="J87" s="76"/>
      <c r="K87" s="76"/>
      <c r="L87" s="3"/>
      <c r="M87" s="3"/>
    </row>
    <row r="88" spans="1:13" ht="18">
      <c r="A88" s="77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3"/>
      <c r="M88" s="3"/>
    </row>
    <row r="89" spans="1:13" ht="20">
      <c r="A89" s="81"/>
      <c r="B89" s="80" t="s">
        <v>49</v>
      </c>
      <c r="C89" s="82">
        <v>16</v>
      </c>
      <c r="D89" s="82">
        <v>17</v>
      </c>
      <c r="E89" s="82">
        <v>18</v>
      </c>
      <c r="F89" s="82">
        <f>G89*(1+F90)</f>
        <v>19</v>
      </c>
      <c r="G89" s="82">
        <v>20</v>
      </c>
      <c r="H89" s="82">
        <v>21</v>
      </c>
      <c r="I89" s="82">
        <v>22</v>
      </c>
      <c r="J89" s="82">
        <v>23</v>
      </c>
      <c r="K89" s="83">
        <v>24</v>
      </c>
      <c r="L89" s="3"/>
      <c r="M89" s="3"/>
    </row>
    <row r="90" spans="1:13" ht="20">
      <c r="A90" s="84"/>
      <c r="B90" s="80" t="s">
        <v>47</v>
      </c>
      <c r="C90" s="85">
        <v>-0.2</v>
      </c>
      <c r="D90" s="85">
        <v>-0.15</v>
      </c>
      <c r="E90" s="85">
        <v>-0.1</v>
      </c>
      <c r="F90" s="85">
        <v>-0.05</v>
      </c>
      <c r="G90" s="85">
        <v>0</v>
      </c>
      <c r="H90" s="85">
        <v>0.05</v>
      </c>
      <c r="I90" s="85">
        <v>0.1</v>
      </c>
      <c r="J90" s="85">
        <v>0.15</v>
      </c>
      <c r="K90" s="86">
        <v>0.2</v>
      </c>
      <c r="L90" s="3"/>
      <c r="M90" s="3"/>
    </row>
    <row r="91" spans="1:13" ht="18" customHeight="1">
      <c r="A91" s="108" t="s">
        <v>40</v>
      </c>
      <c r="B91" s="80">
        <v>0</v>
      </c>
      <c r="C91" s="76">
        <v>-1070000</v>
      </c>
      <c r="D91" s="76">
        <v>-1070000</v>
      </c>
      <c r="E91" s="76">
        <v>-1070000</v>
      </c>
      <c r="F91" s="76">
        <v>-1070000</v>
      </c>
      <c r="G91" s="76">
        <v>-1070000</v>
      </c>
      <c r="H91" s="76">
        <v>-1070000</v>
      </c>
      <c r="I91" s="76">
        <v>-1070000</v>
      </c>
      <c r="J91" s="76">
        <v>-1070000</v>
      </c>
      <c r="K91" s="87">
        <v>-1070000</v>
      </c>
      <c r="L91" s="3"/>
      <c r="M91" s="3"/>
    </row>
    <row r="92" spans="1:13" ht="20" customHeight="1">
      <c r="A92" s="108"/>
      <c r="B92" s="80">
        <v>1</v>
      </c>
      <c r="C92" s="88">
        <f>D$56*(1+C$90)-D$57</f>
        <v>321112</v>
      </c>
      <c r="D92" s="88">
        <f>$D$56*(1+D$90)-$D$57</f>
        <v>411112</v>
      </c>
      <c r="E92" s="88">
        <f t="shared" ref="E92:K92" si="13">$D$56*(1+E$90)-$D$57</f>
        <v>501112</v>
      </c>
      <c r="F92" s="88">
        <f t="shared" si="13"/>
        <v>591112</v>
      </c>
      <c r="G92" s="88">
        <f t="shared" si="13"/>
        <v>681112</v>
      </c>
      <c r="H92" s="88">
        <f t="shared" si="13"/>
        <v>771112</v>
      </c>
      <c r="I92" s="88">
        <f t="shared" si="13"/>
        <v>861112.00000000023</v>
      </c>
      <c r="J92" s="88">
        <f t="shared" si="13"/>
        <v>951111.99999999977</v>
      </c>
      <c r="K92" s="89">
        <f t="shared" si="13"/>
        <v>1041112</v>
      </c>
      <c r="L92" s="3"/>
      <c r="M92" s="3"/>
    </row>
    <row r="93" spans="1:13" ht="20" customHeight="1">
      <c r="A93" s="108"/>
      <c r="B93" s="80">
        <v>2</v>
      </c>
      <c r="C93" s="88">
        <f>E$56*(1+C$90)-E$57</f>
        <v>413423.12000000011</v>
      </c>
      <c r="D93" s="88">
        <f>$E$56*(1+D$90)-$E$57</f>
        <v>512423.12000000011</v>
      </c>
      <c r="E93" s="88">
        <f t="shared" ref="E93:K93" si="14">$E$56*(1+E$90)-$E$57</f>
        <v>611423.12000000011</v>
      </c>
      <c r="F93" s="88">
        <f t="shared" si="14"/>
        <v>710423.12000000011</v>
      </c>
      <c r="G93" s="88">
        <f t="shared" si="14"/>
        <v>809423.12000000011</v>
      </c>
      <c r="H93" s="88">
        <f t="shared" si="14"/>
        <v>908423.12000000011</v>
      </c>
      <c r="I93" s="100">
        <f t="shared" si="14"/>
        <v>1007423.1200000003</v>
      </c>
      <c r="J93" s="88">
        <f t="shared" si="14"/>
        <v>1106423.1199999999</v>
      </c>
      <c r="K93" s="89">
        <f t="shared" si="14"/>
        <v>1205423.1199999999</v>
      </c>
      <c r="L93" s="3"/>
      <c r="M93" s="3"/>
    </row>
    <row r="94" spans="1:13" ht="20" customHeight="1">
      <c r="A94" s="108"/>
      <c r="B94" s="80">
        <v>3</v>
      </c>
      <c r="C94" s="88">
        <f>F$56*(1+C$90)-F$57</f>
        <v>406667.35120000015</v>
      </c>
      <c r="D94" s="88">
        <f>$F$56*(1+D$90)-$F$57</f>
        <v>505667.35120000015</v>
      </c>
      <c r="E94" s="88">
        <f t="shared" ref="E94:K94" si="15">$F$56*(1+E$90)-$F$57</f>
        <v>604667.35120000015</v>
      </c>
      <c r="F94" s="88">
        <f t="shared" si="15"/>
        <v>703667.35120000015</v>
      </c>
      <c r="G94" s="88">
        <f t="shared" si="15"/>
        <v>802667.35120000015</v>
      </c>
      <c r="H94" s="88">
        <f t="shared" si="15"/>
        <v>901667.35120000015</v>
      </c>
      <c r="I94" s="100">
        <f t="shared" si="15"/>
        <v>1000667.3512000004</v>
      </c>
      <c r="J94" s="88">
        <f t="shared" si="15"/>
        <v>1099667.3511999999</v>
      </c>
      <c r="K94" s="89">
        <f t="shared" si="15"/>
        <v>1198667.3511999999</v>
      </c>
      <c r="L94" s="3"/>
      <c r="M94" s="3"/>
    </row>
    <row r="95" spans="1:13" ht="20" customHeight="1">
      <c r="A95" s="108"/>
      <c r="B95" s="80">
        <v>4</v>
      </c>
      <c r="C95" s="88">
        <f>G$56*(1+C$90)-G$57</f>
        <v>399844.02471200028</v>
      </c>
      <c r="D95" s="88">
        <f>$G$56*(1+D$90)-$G$57</f>
        <v>498844.02471200028</v>
      </c>
      <c r="E95" s="88">
        <f t="shared" ref="E95:K95" si="16">$G$56*(1+E$90)-$G$57</f>
        <v>597844.02471200028</v>
      </c>
      <c r="F95" s="88">
        <f t="shared" si="16"/>
        <v>696844.02471200028</v>
      </c>
      <c r="G95" s="88">
        <f t="shared" si="16"/>
        <v>795844.02471200028</v>
      </c>
      <c r="H95" s="88">
        <f t="shared" si="16"/>
        <v>894844.02471200028</v>
      </c>
      <c r="I95" s="88">
        <f t="shared" si="16"/>
        <v>993844.02471200051</v>
      </c>
      <c r="J95" s="88">
        <f t="shared" si="16"/>
        <v>1092844.024712</v>
      </c>
      <c r="K95" s="89">
        <f t="shared" si="16"/>
        <v>1191844.024712</v>
      </c>
      <c r="L95" s="3"/>
      <c r="M95" s="3"/>
    </row>
    <row r="96" spans="1:13" ht="20" customHeight="1">
      <c r="A96" s="108"/>
      <c r="B96" s="80">
        <v>5</v>
      </c>
      <c r="C96" s="88">
        <f>H$56*(1+C$90)-H$57</f>
        <v>392952.46495912015</v>
      </c>
      <c r="D96" s="88">
        <f>$H$56*(1+D$90)-$H$57</f>
        <v>491952.46495912015</v>
      </c>
      <c r="E96" s="88">
        <f t="shared" ref="E96:K96" si="17">$H$56*(1+E$90)-$H$57</f>
        <v>590952.46495912015</v>
      </c>
      <c r="F96" s="88">
        <f t="shared" si="17"/>
        <v>689952.46495912015</v>
      </c>
      <c r="G96" s="88">
        <f t="shared" si="17"/>
        <v>788952.46495912015</v>
      </c>
      <c r="H96" s="88">
        <f t="shared" si="17"/>
        <v>887952.46495912015</v>
      </c>
      <c r="I96" s="88">
        <f t="shared" si="17"/>
        <v>986952.46495912038</v>
      </c>
      <c r="J96" s="88">
        <f t="shared" si="17"/>
        <v>1085952.4649591199</v>
      </c>
      <c r="K96" s="89">
        <f t="shared" si="17"/>
        <v>1184952.4649591199</v>
      </c>
      <c r="L96" s="3"/>
      <c r="M96" s="3"/>
    </row>
    <row r="97" spans="1:13" ht="20" customHeight="1">
      <c r="A97" s="108"/>
      <c r="B97" s="80">
        <v>6</v>
      </c>
      <c r="C97" s="88">
        <f>I$56*(1+C$90)-I$57</f>
        <v>385991.98960871133</v>
      </c>
      <c r="D97" s="88">
        <f>$I$56*(1+D$90)-$I$57</f>
        <v>484991.98960871133</v>
      </c>
      <c r="E97" s="88">
        <f t="shared" ref="E97:K97" si="18">$I$56*(1+E$90)-$I$57</f>
        <v>583991.98960871133</v>
      </c>
      <c r="F97" s="88">
        <f t="shared" si="18"/>
        <v>682991.98960871133</v>
      </c>
      <c r="G97" s="88">
        <f t="shared" si="18"/>
        <v>781991.98960871133</v>
      </c>
      <c r="H97" s="88">
        <f t="shared" si="18"/>
        <v>880991.98960871133</v>
      </c>
      <c r="I97" s="88">
        <f t="shared" si="18"/>
        <v>979991.98960871156</v>
      </c>
      <c r="J97" s="88">
        <f t="shared" si="18"/>
        <v>1078991.9896087111</v>
      </c>
      <c r="K97" s="89">
        <f t="shared" si="18"/>
        <v>1177991.9896087111</v>
      </c>
      <c r="L97" s="3"/>
      <c r="M97" s="3"/>
    </row>
    <row r="98" spans="1:13" ht="20" customHeight="1">
      <c r="A98" s="108"/>
      <c r="B98" s="80">
        <v>7</v>
      </c>
      <c r="C98" s="88">
        <f>J$56*(1+C$90)-J$57</f>
        <v>378961.90950479847</v>
      </c>
      <c r="D98" s="88">
        <f>$J$56*(1+D$90)-$J$57</f>
        <v>477961.90950479847</v>
      </c>
      <c r="E98" s="88">
        <f t="shared" ref="E98:K98" si="19">$J$56*(1+E$90)-$J$57</f>
        <v>576961.90950479847</v>
      </c>
      <c r="F98" s="88">
        <f t="shared" si="19"/>
        <v>675961.90950479847</v>
      </c>
      <c r="G98" s="88">
        <f t="shared" si="19"/>
        <v>774961.90950479847</v>
      </c>
      <c r="H98" s="88">
        <f t="shared" si="19"/>
        <v>873961.90950479847</v>
      </c>
      <c r="I98" s="88">
        <f t="shared" si="19"/>
        <v>972961.90950479871</v>
      </c>
      <c r="J98" s="88">
        <f t="shared" si="19"/>
        <v>1071961.9095047982</v>
      </c>
      <c r="K98" s="89">
        <f t="shared" si="19"/>
        <v>1170961.9095047982</v>
      </c>
      <c r="L98" s="3"/>
      <c r="M98" s="3"/>
    </row>
    <row r="99" spans="1:13" ht="20" customHeight="1">
      <c r="A99" s="108"/>
      <c r="B99" s="80">
        <v>8</v>
      </c>
      <c r="C99" s="88">
        <f>K$56*(1+C$90)-K$57</f>
        <v>154061.52859984641</v>
      </c>
      <c r="D99" s="88">
        <f>$K$56*(1+D$90)-$K$57</f>
        <v>233261.52859984641</v>
      </c>
      <c r="E99" s="88">
        <f t="shared" ref="E99:K99" si="20">$K$56*(1+E$90)-$K$57</f>
        <v>312461.52859984641</v>
      </c>
      <c r="F99" s="88">
        <f t="shared" si="20"/>
        <v>391661.52859984641</v>
      </c>
      <c r="G99" s="88">
        <f t="shared" si="20"/>
        <v>470861.52859984641</v>
      </c>
      <c r="H99" s="88">
        <f t="shared" si="20"/>
        <v>550061.52859984641</v>
      </c>
      <c r="I99" s="88">
        <f t="shared" si="20"/>
        <v>629261.52859984664</v>
      </c>
      <c r="J99" s="88">
        <f t="shared" si="20"/>
        <v>708461.52859984641</v>
      </c>
      <c r="K99" s="89">
        <f t="shared" si="20"/>
        <v>787661.52859984641</v>
      </c>
      <c r="L99" s="3"/>
      <c r="M99" s="3"/>
    </row>
    <row r="100" spans="1:13" ht="20" customHeight="1">
      <c r="A100" s="108"/>
      <c r="B100" s="80">
        <v>9</v>
      </c>
      <c r="C100" s="88">
        <f>L$56*(1+C$90)-L$57</f>
        <v>-27349.856114155147</v>
      </c>
      <c r="D100" s="88">
        <f>$L$56*(1+D$90)-$L$57</f>
        <v>36010.143885844853</v>
      </c>
      <c r="E100" s="88">
        <f t="shared" ref="E100:K100" si="21">$L$56*(1+E$90)-$L$57</f>
        <v>99370.143885844853</v>
      </c>
      <c r="F100" s="88">
        <f t="shared" si="21"/>
        <v>162730.14388584485</v>
      </c>
      <c r="G100" s="88">
        <f t="shared" si="21"/>
        <v>226090.14388584485</v>
      </c>
      <c r="H100" s="88">
        <f t="shared" si="21"/>
        <v>289450.14388584485</v>
      </c>
      <c r="I100" s="88">
        <f t="shared" si="21"/>
        <v>352810.14388584509</v>
      </c>
      <c r="J100" s="88">
        <f t="shared" si="21"/>
        <v>416170.14388584485</v>
      </c>
      <c r="K100" s="89">
        <f t="shared" si="21"/>
        <v>479530.14388584485</v>
      </c>
      <c r="L100" s="3"/>
      <c r="M100" s="3"/>
    </row>
    <row r="101" spans="1:13" ht="20" customHeight="1">
      <c r="A101" s="108"/>
      <c r="B101" s="80">
        <v>10</v>
      </c>
      <c r="C101" s="88">
        <f>M$56*(1+C$90)-M$57</f>
        <v>-173984.95467529655</v>
      </c>
      <c r="D101" s="88">
        <f>$M$56*(1+D$90)-$M$57</f>
        <v>-123296.95467529655</v>
      </c>
      <c r="E101" s="88">
        <f t="shared" ref="E101:K101" si="22">$M$56*(1+E$90)-$M$57</f>
        <v>-72608.954675296554</v>
      </c>
      <c r="F101" s="88">
        <f t="shared" si="22"/>
        <v>-21920.954675296554</v>
      </c>
      <c r="G101" s="88">
        <f t="shared" si="22"/>
        <v>28767.045324703446</v>
      </c>
      <c r="H101" s="88">
        <f t="shared" si="22"/>
        <v>79455.045324703446</v>
      </c>
      <c r="I101" s="88">
        <f t="shared" si="22"/>
        <v>130143.04532470345</v>
      </c>
      <c r="J101" s="88">
        <f t="shared" si="22"/>
        <v>180831.04532470345</v>
      </c>
      <c r="K101" s="89">
        <f t="shared" si="22"/>
        <v>231519.04532470345</v>
      </c>
      <c r="L101" s="3"/>
      <c r="M101" s="3"/>
    </row>
    <row r="102" spans="1:13" ht="20" customHeight="1">
      <c r="A102" s="84"/>
      <c r="B102" s="80" t="s">
        <v>41</v>
      </c>
      <c r="C102" s="90">
        <f>NPV(20%,C91:C101)</f>
        <v>256863.61094911263</v>
      </c>
      <c r="D102" s="90">
        <f t="shared" ref="D102:K102" si="23">NPV(20%,D91:D101)</f>
        <v>580396.91161624936</v>
      </c>
      <c r="E102" s="90">
        <f t="shared" si="23"/>
        <v>903930.21228338592</v>
      </c>
      <c r="F102" s="100">
        <f t="shared" si="23"/>
        <v>1227463.5129505224</v>
      </c>
      <c r="G102" s="90">
        <f t="shared" si="23"/>
        <v>1550996.813617659</v>
      </c>
      <c r="H102" s="90">
        <f t="shared" si="23"/>
        <v>1874530.1142847957</v>
      </c>
      <c r="I102" s="100">
        <f>NPV(20%,I91:I101)</f>
        <v>2198063.4149519326</v>
      </c>
      <c r="J102" s="90">
        <f t="shared" si="23"/>
        <v>2521596.7156190681</v>
      </c>
      <c r="K102" s="91">
        <f t="shared" si="23"/>
        <v>2845130.0162862055</v>
      </c>
      <c r="L102" s="3"/>
      <c r="M102" s="3"/>
    </row>
    <row r="103" spans="1:13" ht="20">
      <c r="A103" s="92"/>
      <c r="B103" s="80" t="s">
        <v>42</v>
      </c>
      <c r="C103" s="95">
        <f>IRR(C91:C101)</f>
        <v>0.29866521583227246</v>
      </c>
      <c r="D103" s="95">
        <f t="shared" ref="D103:J103" si="24">IRR(D91:D101)</f>
        <v>0.40617370254662255</v>
      </c>
      <c r="E103" s="95">
        <f t="shared" si="24"/>
        <v>0.5048769020528252</v>
      </c>
      <c r="F103" s="95">
        <f t="shared" si="24"/>
        <v>0.5988526071213065</v>
      </c>
      <c r="G103" s="95">
        <f t="shared" si="24"/>
        <v>0.68999742594568647</v>
      </c>
      <c r="H103" s="95">
        <f t="shared" si="24"/>
        <v>0.77933029392910802</v>
      </c>
      <c r="I103" s="95">
        <f t="shared" si="24"/>
        <v>0.86744790347759504</v>
      </c>
      <c r="J103" s="95">
        <f t="shared" si="24"/>
        <v>0.95472052375184302</v>
      </c>
      <c r="K103" s="96">
        <f>IRR(K91:K101)</f>
        <v>1.0413878711834252</v>
      </c>
      <c r="L103" s="3"/>
      <c r="M103" s="3"/>
    </row>
    <row r="104" spans="1:13" ht="18">
      <c r="A104" s="77"/>
      <c r="B104" s="77"/>
      <c r="C104" s="76"/>
      <c r="D104" s="76"/>
      <c r="E104" s="76"/>
      <c r="F104" s="76"/>
      <c r="G104" s="76"/>
      <c r="H104" s="76"/>
      <c r="I104" s="76"/>
      <c r="J104" s="76"/>
      <c r="K104" s="76"/>
      <c r="L104" s="3"/>
      <c r="M104" s="3"/>
    </row>
    <row r="105" spans="1:13" ht="26">
      <c r="A105" s="77"/>
      <c r="B105" s="78" t="s">
        <v>50</v>
      </c>
      <c r="C105" s="76"/>
      <c r="D105" s="76"/>
      <c r="E105" s="76"/>
      <c r="F105" s="76"/>
      <c r="G105" s="76"/>
      <c r="H105" s="76"/>
      <c r="I105" s="76"/>
      <c r="J105" s="76"/>
      <c r="K105" s="76"/>
      <c r="L105" s="3"/>
      <c r="M105" s="3"/>
    </row>
    <row r="106" spans="1:13" ht="18">
      <c r="A106" s="77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3"/>
      <c r="M106" s="3"/>
    </row>
    <row r="107" spans="1:13" ht="20">
      <c r="A107" s="81"/>
      <c r="B107" s="80" t="s">
        <v>33</v>
      </c>
      <c r="C107" s="82">
        <v>1</v>
      </c>
      <c r="D107" s="82">
        <v>2</v>
      </c>
      <c r="E107" s="82">
        <v>3</v>
      </c>
      <c r="F107" s="82">
        <v>4</v>
      </c>
      <c r="G107" s="82">
        <v>5</v>
      </c>
      <c r="H107" s="82">
        <v>6</v>
      </c>
      <c r="I107" s="82">
        <v>7</v>
      </c>
      <c r="J107" s="82">
        <v>8</v>
      </c>
      <c r="K107" s="83">
        <v>9</v>
      </c>
      <c r="L107" s="3"/>
      <c r="M107" s="3"/>
    </row>
    <row r="108" spans="1:13" ht="20">
      <c r="A108" s="84"/>
      <c r="B108" s="80" t="s">
        <v>47</v>
      </c>
      <c r="C108" s="85">
        <v>-0.8</v>
      </c>
      <c r="D108" s="85">
        <v>-0.6</v>
      </c>
      <c r="E108" s="85">
        <v>-0.4</v>
      </c>
      <c r="F108" s="85">
        <v>-0.2</v>
      </c>
      <c r="G108" s="85">
        <v>0</v>
      </c>
      <c r="H108" s="85">
        <v>0.2</v>
      </c>
      <c r="I108" s="85">
        <v>0.4</v>
      </c>
      <c r="J108" s="85">
        <v>0.6</v>
      </c>
      <c r="K108" s="86">
        <v>0.8</v>
      </c>
      <c r="L108" s="3"/>
      <c r="M108" s="3"/>
    </row>
    <row r="109" spans="1:13" ht="18" customHeight="1">
      <c r="A109" s="108" t="s">
        <v>40</v>
      </c>
      <c r="B109" s="80">
        <v>0</v>
      </c>
      <c r="C109" s="76">
        <v>-1070000</v>
      </c>
      <c r="D109" s="76">
        <v>-1070000</v>
      </c>
      <c r="E109" s="76">
        <v>-1070000</v>
      </c>
      <c r="F109" s="76">
        <v>-1070000</v>
      </c>
      <c r="G109" s="76">
        <v>-1070000</v>
      </c>
      <c r="H109" s="76">
        <v>-1070000</v>
      </c>
      <c r="I109" s="76">
        <v>-1070000</v>
      </c>
      <c r="J109" s="76">
        <v>-1070000</v>
      </c>
      <c r="K109" s="87">
        <v>-1070000</v>
      </c>
      <c r="L109" s="3"/>
      <c r="M109" s="3"/>
    </row>
    <row r="110" spans="1:13" ht="20">
      <c r="A110" s="108"/>
      <c r="B110" s="80">
        <v>1</v>
      </c>
      <c r="C110" s="88">
        <f t="shared" ref="C110:E110" si="25">D110+90000</f>
        <v>1041112</v>
      </c>
      <c r="D110" s="88">
        <f t="shared" si="25"/>
        <v>951112</v>
      </c>
      <c r="E110" s="88">
        <f t="shared" si="25"/>
        <v>861112</v>
      </c>
      <c r="F110" s="88">
        <f>G110+90000</f>
        <v>771112</v>
      </c>
      <c r="G110" s="88">
        <v>681112</v>
      </c>
      <c r="H110" s="88">
        <f>G110-90000</f>
        <v>591112</v>
      </c>
      <c r="I110" s="88">
        <f t="shared" ref="I110:K110" si="26">H110-90000</f>
        <v>501112</v>
      </c>
      <c r="J110" s="88">
        <f t="shared" si="26"/>
        <v>411112</v>
      </c>
      <c r="K110" s="89">
        <f t="shared" si="26"/>
        <v>321112</v>
      </c>
      <c r="L110" s="3"/>
      <c r="M110" s="3"/>
    </row>
    <row r="111" spans="1:13" ht="20">
      <c r="A111" s="108"/>
      <c r="B111" s="80">
        <v>2</v>
      </c>
      <c r="C111" s="88">
        <f t="shared" ref="C111:E111" si="27">D111+90000</f>
        <v>1169423.1200000001</v>
      </c>
      <c r="D111" s="88">
        <f t="shared" si="27"/>
        <v>1079423.1200000001</v>
      </c>
      <c r="E111" s="88">
        <f t="shared" si="27"/>
        <v>989423.12000000011</v>
      </c>
      <c r="F111" s="88">
        <f>G111+90000</f>
        <v>899423.12000000011</v>
      </c>
      <c r="G111" s="88">
        <v>809423.12000000011</v>
      </c>
      <c r="H111" s="88">
        <f>G111-90000</f>
        <v>719423.12000000011</v>
      </c>
      <c r="I111" s="88">
        <f t="shared" ref="I111:K111" si="28">H111-90000</f>
        <v>629423.12000000011</v>
      </c>
      <c r="J111" s="88">
        <f t="shared" si="28"/>
        <v>539423.12000000011</v>
      </c>
      <c r="K111" s="89">
        <f t="shared" si="28"/>
        <v>449423.12000000011</v>
      </c>
      <c r="L111" s="3"/>
      <c r="M111" s="3"/>
    </row>
    <row r="112" spans="1:13" ht="20">
      <c r="A112" s="108"/>
      <c r="B112" s="80">
        <v>3</v>
      </c>
      <c r="C112" s="88">
        <f t="shared" ref="C112:E116" si="29">D112+99000</f>
        <v>1198667.3512000002</v>
      </c>
      <c r="D112" s="88">
        <f t="shared" si="29"/>
        <v>1099667.3512000002</v>
      </c>
      <c r="E112" s="88">
        <f t="shared" si="29"/>
        <v>1000667.3512000002</v>
      </c>
      <c r="F112" s="88">
        <f t="shared" ref="F112:F116" si="30">G112+99000</f>
        <v>901667.35120000015</v>
      </c>
      <c r="G112" s="88">
        <v>802667.35120000015</v>
      </c>
      <c r="H112" s="88">
        <f>G112-99000</f>
        <v>703667.35120000015</v>
      </c>
      <c r="I112" s="88">
        <f t="shared" ref="I112:K112" si="31">H112-99000</f>
        <v>604667.35120000015</v>
      </c>
      <c r="J112" s="88">
        <f t="shared" si="31"/>
        <v>505667.35120000015</v>
      </c>
      <c r="K112" s="89">
        <f t="shared" si="31"/>
        <v>406667.35120000015</v>
      </c>
      <c r="L112" s="3"/>
      <c r="M112" s="3"/>
    </row>
    <row r="113" spans="1:13" ht="20">
      <c r="A113" s="108"/>
      <c r="B113" s="80">
        <v>4</v>
      </c>
      <c r="C113" s="88">
        <f t="shared" si="29"/>
        <v>1191844.0247120003</v>
      </c>
      <c r="D113" s="88">
        <f t="shared" si="29"/>
        <v>1092844.0247120003</v>
      </c>
      <c r="E113" s="88">
        <f t="shared" si="29"/>
        <v>993844.02471200028</v>
      </c>
      <c r="F113" s="88">
        <f t="shared" si="30"/>
        <v>894844.02471200028</v>
      </c>
      <c r="G113" s="88">
        <v>795844.02471200028</v>
      </c>
      <c r="H113" s="88">
        <f t="shared" ref="H113:K115" si="32">G113-99000</f>
        <v>696844.02471200028</v>
      </c>
      <c r="I113" s="88">
        <f t="shared" si="32"/>
        <v>597844.02471200028</v>
      </c>
      <c r="J113" s="88">
        <f t="shared" si="32"/>
        <v>498844.02471200028</v>
      </c>
      <c r="K113" s="89">
        <f t="shared" si="32"/>
        <v>399844.02471200028</v>
      </c>
      <c r="L113" s="3"/>
      <c r="M113" s="3"/>
    </row>
    <row r="114" spans="1:13" ht="20">
      <c r="A114" s="108"/>
      <c r="B114" s="80">
        <v>5</v>
      </c>
      <c r="C114" s="88">
        <f t="shared" si="29"/>
        <v>1184952.4649591201</v>
      </c>
      <c r="D114" s="88">
        <f t="shared" si="29"/>
        <v>1085952.4649591201</v>
      </c>
      <c r="E114" s="88">
        <f t="shared" si="29"/>
        <v>986952.46495912015</v>
      </c>
      <c r="F114" s="88">
        <f t="shared" si="30"/>
        <v>887952.46495912015</v>
      </c>
      <c r="G114" s="88">
        <v>788952.46495912015</v>
      </c>
      <c r="H114" s="88">
        <f t="shared" si="32"/>
        <v>689952.46495912015</v>
      </c>
      <c r="I114" s="88">
        <f t="shared" si="32"/>
        <v>590952.46495912015</v>
      </c>
      <c r="J114" s="88">
        <f t="shared" si="32"/>
        <v>491952.46495912015</v>
      </c>
      <c r="K114" s="89">
        <f t="shared" si="32"/>
        <v>392952.46495912015</v>
      </c>
      <c r="L114" s="3"/>
      <c r="M114" s="3"/>
    </row>
    <row r="115" spans="1:13" ht="20">
      <c r="A115" s="108"/>
      <c r="B115" s="80">
        <v>6</v>
      </c>
      <c r="C115" s="88">
        <f t="shared" si="29"/>
        <v>1177991.9896087113</v>
      </c>
      <c r="D115" s="88">
        <f t="shared" si="29"/>
        <v>1078991.9896087113</v>
      </c>
      <c r="E115" s="88">
        <f t="shared" si="29"/>
        <v>979991.98960871133</v>
      </c>
      <c r="F115" s="88">
        <f t="shared" si="30"/>
        <v>880991.98960871133</v>
      </c>
      <c r="G115" s="88">
        <v>781991.98960871133</v>
      </c>
      <c r="H115" s="88">
        <f t="shared" si="32"/>
        <v>682991.98960871133</v>
      </c>
      <c r="I115" s="88">
        <f t="shared" si="32"/>
        <v>583991.98960871133</v>
      </c>
      <c r="J115" s="88">
        <f t="shared" si="32"/>
        <v>484991.98960871133</v>
      </c>
      <c r="K115" s="89">
        <f t="shared" si="32"/>
        <v>385991.98960871133</v>
      </c>
      <c r="L115" s="3"/>
      <c r="M115" s="3"/>
    </row>
    <row r="116" spans="1:13" ht="20">
      <c r="A116" s="108"/>
      <c r="B116" s="80">
        <v>7</v>
      </c>
      <c r="C116" s="88">
        <f t="shared" si="29"/>
        <v>1170961.9095047985</v>
      </c>
      <c r="D116" s="88">
        <f t="shared" si="29"/>
        <v>1071961.9095047985</v>
      </c>
      <c r="E116" s="88">
        <f t="shared" si="29"/>
        <v>972961.90950479847</v>
      </c>
      <c r="F116" s="88">
        <f t="shared" si="30"/>
        <v>873961.90950479847</v>
      </c>
      <c r="G116" s="88">
        <v>774961.90950479847</v>
      </c>
      <c r="H116" s="88">
        <f>G116-99000</f>
        <v>675961.90950479847</v>
      </c>
      <c r="I116" s="88">
        <f t="shared" ref="I116:K116" si="33">H116-99000</f>
        <v>576961.90950479847</v>
      </c>
      <c r="J116" s="88">
        <f t="shared" si="33"/>
        <v>477961.90950479847</v>
      </c>
      <c r="K116" s="89">
        <f t="shared" si="33"/>
        <v>378961.90950479847</v>
      </c>
      <c r="L116" s="3"/>
      <c r="M116" s="3"/>
    </row>
    <row r="117" spans="1:13" ht="20">
      <c r="A117" s="108"/>
      <c r="B117" s="80">
        <v>8</v>
      </c>
      <c r="C117" s="88">
        <f t="shared" ref="C117:E117" si="34">D117+79200</f>
        <v>787661.52859984641</v>
      </c>
      <c r="D117" s="88">
        <f t="shared" si="34"/>
        <v>708461.52859984641</v>
      </c>
      <c r="E117" s="88">
        <f t="shared" si="34"/>
        <v>629261.52859984641</v>
      </c>
      <c r="F117" s="88">
        <f>G117+79200</f>
        <v>550061.52859984641</v>
      </c>
      <c r="G117" s="88">
        <v>470861.52859984641</v>
      </c>
      <c r="H117" s="88">
        <f>G117-79200</f>
        <v>391661.52859984641</v>
      </c>
      <c r="I117" s="88">
        <f t="shared" ref="I117:K117" si="35">H117-79200</f>
        <v>312461.52859984641</v>
      </c>
      <c r="J117" s="88">
        <f t="shared" si="35"/>
        <v>233261.52859984641</v>
      </c>
      <c r="K117" s="89">
        <f t="shared" si="35"/>
        <v>154061.52859984641</v>
      </c>
      <c r="L117" s="3"/>
      <c r="M117" s="3"/>
    </row>
    <row r="118" spans="1:13" ht="20">
      <c r="A118" s="108"/>
      <c r="B118" s="80">
        <v>9</v>
      </c>
      <c r="C118" s="88">
        <f t="shared" ref="C118:E118" si="36">D118+63360</f>
        <v>479530.14388584485</v>
      </c>
      <c r="D118" s="88">
        <f t="shared" si="36"/>
        <v>416170.14388584485</v>
      </c>
      <c r="E118" s="88">
        <f t="shared" si="36"/>
        <v>352810.14388584485</v>
      </c>
      <c r="F118" s="88">
        <f>G118+63360</f>
        <v>289450.14388584485</v>
      </c>
      <c r="G118" s="88">
        <v>226090.14388584485</v>
      </c>
      <c r="H118" s="88">
        <f>G118-63360</f>
        <v>162730.14388584485</v>
      </c>
      <c r="I118" s="88">
        <f t="shared" ref="I118:K118" si="37">H118-63360</f>
        <v>99370.143885844853</v>
      </c>
      <c r="J118" s="88">
        <f t="shared" si="37"/>
        <v>36010.143885844853</v>
      </c>
      <c r="K118" s="89">
        <f t="shared" si="37"/>
        <v>-27349.856114155147</v>
      </c>
      <c r="L118" s="3"/>
      <c r="M118" s="3"/>
    </row>
    <row r="119" spans="1:13" ht="20">
      <c r="A119" s="108"/>
      <c r="B119" s="80">
        <v>10</v>
      </c>
      <c r="C119" s="88">
        <f t="shared" ref="C119:E119" si="38">D119+50688</f>
        <v>231519.04532470345</v>
      </c>
      <c r="D119" s="88">
        <f t="shared" si="38"/>
        <v>180831.04532470345</v>
      </c>
      <c r="E119" s="88">
        <f t="shared" si="38"/>
        <v>130143.04532470345</v>
      </c>
      <c r="F119" s="88">
        <f>G119+50688</f>
        <v>79455.045324703446</v>
      </c>
      <c r="G119" s="88">
        <v>28767.045324703446</v>
      </c>
      <c r="H119" s="88">
        <f>G119-50688</f>
        <v>-21920.954675296554</v>
      </c>
      <c r="I119" s="88">
        <f t="shared" ref="I119:K119" si="39">H119-50688</f>
        <v>-72608.954675296554</v>
      </c>
      <c r="J119" s="88">
        <f t="shared" si="39"/>
        <v>-123296.95467529655</v>
      </c>
      <c r="K119" s="89">
        <f t="shared" si="39"/>
        <v>-173984.95467529655</v>
      </c>
      <c r="L119" s="3"/>
      <c r="M119" s="3"/>
    </row>
    <row r="120" spans="1:13" ht="20">
      <c r="A120" s="84"/>
      <c r="B120" s="80" t="s">
        <v>41</v>
      </c>
      <c r="C120" s="90">
        <f>NPV(20%,C109:C119)</f>
        <v>2824296.6829528729</v>
      </c>
      <c r="D120" s="100">
        <f t="shared" ref="D120:K120" si="40">NPV(20%,D109:D119)</f>
        <v>2505971.7156190691</v>
      </c>
      <c r="E120" s="90">
        <f t="shared" si="40"/>
        <v>2187646.7482852656</v>
      </c>
      <c r="F120" s="100">
        <f t="shared" si="40"/>
        <v>1869321.7809514625</v>
      </c>
      <c r="G120" s="90">
        <f t="shared" si="40"/>
        <v>1550996.813617659</v>
      </c>
      <c r="H120" s="90">
        <f t="shared" si="40"/>
        <v>1232671.8462838556</v>
      </c>
      <c r="I120" s="100">
        <f t="shared" si="40"/>
        <v>914346.87895005266</v>
      </c>
      <c r="J120" s="90">
        <f t="shared" si="40"/>
        <v>596021.91161624936</v>
      </c>
      <c r="K120" s="91">
        <f t="shared" si="40"/>
        <v>277696.944282446</v>
      </c>
      <c r="L120" s="3"/>
      <c r="M120" s="3"/>
    </row>
    <row r="121" spans="1:13" ht="20">
      <c r="A121" s="92"/>
      <c r="B121" s="80" t="s">
        <v>42</v>
      </c>
      <c r="C121" s="93">
        <f>IRR(C109:C119)</f>
        <v>1.0331285238039216</v>
      </c>
      <c r="D121" s="93">
        <f t="shared" ref="D121:K121" si="41">IRR(D109:D119)</f>
        <v>0.94849776560670729</v>
      </c>
      <c r="E121" s="93">
        <f t="shared" si="41"/>
        <v>0.86328785855305745</v>
      </c>
      <c r="F121" s="93">
        <f t="shared" si="41"/>
        <v>0.77724843227631291</v>
      </c>
      <c r="G121" s="93">
        <f t="shared" si="41"/>
        <v>0.68999742594568647</v>
      </c>
      <c r="H121" s="93">
        <f t="shared" si="41"/>
        <v>0.60092751349848927</v>
      </c>
      <c r="I121" s="93">
        <f t="shared" si="41"/>
        <v>0.50901669674786576</v>
      </c>
      <c r="J121" s="93">
        <f t="shared" si="41"/>
        <v>0.41239200970525047</v>
      </c>
      <c r="K121" s="94">
        <f t="shared" si="41"/>
        <v>0.30709742499580961</v>
      </c>
      <c r="L121" s="3"/>
      <c r="M121" s="3"/>
    </row>
    <row r="122" spans="1:13" ht="18">
      <c r="A122" s="1"/>
      <c r="B122" s="1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8">
      <c r="A123" s="1"/>
      <c r="B123" s="1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29" customHeight="1">
      <c r="A124" s="1"/>
      <c r="B124" s="1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</sheetData>
  <mergeCells count="11">
    <mergeCell ref="A73:A83"/>
    <mergeCell ref="A91:A101"/>
    <mergeCell ref="A109:A119"/>
    <mergeCell ref="A52:B52"/>
    <mergeCell ref="A4:B4"/>
    <mergeCell ref="A66:B67"/>
    <mergeCell ref="D21:E21"/>
    <mergeCell ref="F21:J21"/>
    <mergeCell ref="K21:M21"/>
    <mergeCell ref="A13:B13"/>
    <mergeCell ref="A27:B27"/>
  </mergeCells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1561802244@qq.com</dc:creator>
  <cp:lastModifiedBy>1561802244@qq.com</cp:lastModifiedBy>
  <dcterms:created xsi:type="dcterms:W3CDTF">2024-05-20T10:41:36Z</dcterms:created>
  <dcterms:modified xsi:type="dcterms:W3CDTF">2024-06-05T13:12:00Z</dcterms:modified>
</cp:coreProperties>
</file>